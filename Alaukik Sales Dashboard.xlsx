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d1ed54de2c46b83f/Desktop/"/>
    </mc:Choice>
  </mc:AlternateContent>
  <xr:revisionPtr revIDLastSave="1" documentId="8_{074B83A7-C5D5-4DE6-A526-847858C94F12}" xr6:coauthVersionLast="47" xr6:coauthVersionMax="47" xr10:uidLastSave="{92B1DE32-294D-4375-8519-E1ED0C75F503}"/>
  <bookViews>
    <workbookView xWindow="-110" yWindow="-110" windowWidth="19420" windowHeight="10300" tabRatio="933" firstSheet="2" activeTab="6" xr2:uid="{00000000-000D-0000-FFFF-FFFF00000000}"/>
  </bookViews>
  <sheets>
    <sheet name="pivot 1" sheetId="8" r:id="rId1"/>
    <sheet name="pivot 2" sheetId="13" r:id="rId2"/>
    <sheet name="pivot 3" sheetId="15" r:id="rId3"/>
    <sheet name="pivot 4" sheetId="17" r:id="rId4"/>
    <sheet name="pivot5" sheetId="19" r:id="rId5"/>
    <sheet name="pivot6" sheetId="22" r:id="rId6"/>
    <sheet name="Sales Dashboard " sheetId="23" r:id="rId7"/>
    <sheet name="pivot 7" sheetId="29" r:id="rId8"/>
    <sheet name="Line Chart" sheetId="31" r:id="rId9"/>
    <sheet name="Bar Chart 1" sheetId="33" r:id="rId10"/>
    <sheet name="Column Bar" sheetId="35" r:id="rId11"/>
    <sheet name="Donut Chart" sheetId="38" r:id="rId12"/>
    <sheet name="Bar Chart 2" sheetId="46" r:id="rId13"/>
    <sheet name="Sales" sheetId="1" r:id="rId14"/>
    <sheet name="lost deals analysis " sheetId="48" r:id="rId15"/>
    <sheet name="Win Rate Analysis " sheetId="47" r:id="rId16"/>
    <sheet name="Customers" sheetId="2" r:id="rId17"/>
    <sheet name="Products" sheetId="3" r:id="rId18"/>
    <sheet name="Salespeople" sheetId="4" r:id="rId19"/>
    <sheet name="Targets" sheetId="5" r:id="rId20"/>
    <sheet name="Date" sheetId="6" r:id="rId21"/>
    <sheet name="Excel_Tasks" sheetId="7" r:id="rId22"/>
  </sheets>
  <definedNames>
    <definedName name="_xlcn.WorksheetConnection_Sales_Analytics_Excel_Practice_50_Rows.xlsxTable21" hidden="1">Table2[]</definedName>
    <definedName name="_xlcn.WorksheetConnection_Sales_Analytics_Excel_Practice_50_Rows.xlsxTable31" hidden="1">Table3[]</definedName>
    <definedName name="_xlcn.WorksheetConnection_Sales_Analytics_Excel_Practice_50_Rows.xlsxTable41" hidden="1">Table4[]</definedName>
    <definedName name="_xlcn.WorksheetConnection_Sales_Analytics_Excel_Practice_50_Rows.xlsxTable81" hidden="1">Table8[]</definedName>
    <definedName name="_xlcn.WorksheetConnection_SalesBB1" hidden="1">Sales!$B:$B</definedName>
    <definedName name="_xlcn.WorksheetConnection_SalesII1" hidden="1">Sales!$I:$I</definedName>
    <definedName name="_xlcn.WorksheetConnection_SalesKK1" hidden="1">Sales!$K:$K</definedName>
    <definedName name="_xlcn.WorksheetConnection_SalesLL1" hidden="1">Sales!$K:$K</definedName>
    <definedName name="_xlcn.WorksheetConnection_SalesLL11" hidden="1">Sales!$K:$K</definedName>
    <definedName name="Slicer_Deal_Status">#N/A</definedName>
    <definedName name="Slicer_Region">#N/A</definedName>
  </definedNames>
  <calcPr calcId="191029"/>
  <pivotCaches>
    <pivotCache cacheId="0" r:id="rId23"/>
    <pivotCache cacheId="1" r:id="rId24"/>
    <pivotCache cacheId="2" r:id="rId25"/>
    <pivotCache cacheId="3" r:id="rId26"/>
    <pivotCache cacheId="4" r:id="rId27"/>
    <pivotCache cacheId="5" r:id="rId28"/>
    <pivotCache cacheId="6" r:id="rId29"/>
    <pivotCache cacheId="8" r:id="rId30"/>
    <pivotCache cacheId="9" r:id="rId31"/>
    <pivotCache cacheId="13" r:id="rId32"/>
  </pivotCaches>
  <extLst>
    <ext xmlns:x14="http://schemas.microsoft.com/office/spreadsheetml/2009/9/main" uri="{876F7934-8845-4945-9796-88D515C7AA90}">
      <x14:pivotCaches>
        <pivotCache cacheId="10" r:id="rId33"/>
      </x14:pivotCaches>
    </ex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Sales_Analytics_Excel_Practice_50_Rows.xlsx!Table8"/>
          <x15:modelTable id="Table4" name="Table4" connection="WorksheetConnection_Sales_Analytics_Excel_Practice_50_Rows.xlsx!Table4"/>
          <x15:modelTable id="Table3" name="Table3" connection="WorksheetConnection_Sales_Analytics_Excel_Practice_50_Rows.xlsx!Table3"/>
          <x15:modelTable id="Table2" name="Table2" connection="WorksheetConnection_Sales_Analytics_Excel_Practice_50_Rows.xlsx!Table2"/>
          <x15:modelTable id="Range 3" name="Range 3" connection="WorksheetConnection_Sales!$L:$L1"/>
          <x15:modelTable id="Range 1" name="Range 1" connection="WorksheetConnection_Sales!$L:$L"/>
          <x15:modelTable id="Range" name="Range" connection="WorksheetConnection_Sales!$K:$K"/>
          <x15:modelTable id="Range 4" name="Range 4" connection="WorksheetConnection_Sales!$I:$I"/>
          <x15:modelTable id="Range 2" name="Range 2" connection="WorksheetConnection_Sales!$B:$B"/>
        </x15:modelTables>
        <x15:modelRelationships>
          <x15:modelRelationship fromTable="Table8" fromColumn="Salesperson_ID" toTable="Table4" toColumn="Salesperson_ID"/>
          <x15:modelRelationship fromTable="Table8" fromColumn="Customer_ID" toTable="Table2" toColumn="Customer_ID"/>
          <x15:modelRelationship fromTable="Table8" fromColumn="Product_ID" toTable="Table3" toColumn="Product_ID"/>
        </x15:modelRelationships>
        <x15:extLst>
          <ext xmlns:x16="http://schemas.microsoft.com/office/spreadsheetml/2014/11/main" uri="{9835A34E-60A6-4A7C-AAB8-D5F71C897F49}">
            <x16:modelTimeGroupings>
              <x16:modelTimeGrouping tableName="Table8"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48" l="1"/>
  <c r="B2" i="48"/>
  <c r="B4" i="48"/>
  <c r="C3" i="47"/>
  <c r="C4" i="47"/>
  <c r="C5" i="47"/>
  <c r="C6" i="47"/>
  <c r="C7" i="47"/>
  <c r="C8" i="47"/>
  <c r="C9" i="47"/>
  <c r="C10" i="47"/>
  <c r="C11" i="47"/>
  <c r="C12" i="47"/>
  <c r="C13" i="47"/>
  <c r="C14" i="47"/>
  <c r="C15" i="47"/>
  <c r="C16" i="47"/>
  <c r="C17" i="47"/>
  <c r="C18" i="47"/>
  <c r="C19" i="47"/>
  <c r="C20" i="47"/>
  <c r="C21" i="47"/>
  <c r="C22" i="47"/>
  <c r="C23" i="47"/>
  <c r="C24" i="47"/>
  <c r="C25" i="47"/>
  <c r="C26" i="47"/>
  <c r="C27" i="47"/>
  <c r="C28" i="47"/>
  <c r="C29" i="47"/>
  <c r="C30" i="47"/>
  <c r="C31" i="47"/>
  <c r="C32" i="47"/>
  <c r="C33" i="47"/>
  <c r="C34" i="47"/>
  <c r="C35" i="47"/>
  <c r="C36" i="47"/>
  <c r="C37" i="47"/>
  <c r="C38" i="47"/>
  <c r="C39" i="47"/>
  <c r="C40" i="47"/>
  <c r="C41" i="47"/>
  <c r="C42" i="47"/>
  <c r="C43" i="47"/>
  <c r="C44" i="47"/>
  <c r="C45" i="47"/>
  <c r="C46" i="47"/>
  <c r="C47" i="47"/>
  <c r="C48" i="47"/>
  <c r="C49" i="47"/>
  <c r="C50" i="47"/>
  <c r="D50" i="47" s="1"/>
  <c r="C51" i="47"/>
  <c r="B3" i="47"/>
  <c r="D3" i="47" s="1"/>
  <c r="B4" i="47"/>
  <c r="D4" i="47" s="1"/>
  <c r="B5" i="47"/>
  <c r="D5" i="47" s="1"/>
  <c r="B6" i="47"/>
  <c r="D6" i="47" s="1"/>
  <c r="B7" i="47"/>
  <c r="D7" i="47" s="1"/>
  <c r="B8" i="47"/>
  <c r="D8" i="47" s="1"/>
  <c r="B9" i="47"/>
  <c r="D9" i="47" s="1"/>
  <c r="B10" i="47"/>
  <c r="D10" i="47" s="1"/>
  <c r="B11" i="47"/>
  <c r="D11" i="47" s="1"/>
  <c r="B12" i="47"/>
  <c r="B13" i="47"/>
  <c r="D13" i="47" s="1"/>
  <c r="B14" i="47"/>
  <c r="D14" i="47" s="1"/>
  <c r="B15" i="47"/>
  <c r="D15" i="47" s="1"/>
  <c r="B16" i="47"/>
  <c r="B17" i="47"/>
  <c r="D17" i="47" s="1"/>
  <c r="B18" i="47"/>
  <c r="B19" i="47"/>
  <c r="D19" i="47" s="1"/>
  <c r="B20" i="47"/>
  <c r="D20" i="47" s="1"/>
  <c r="B21" i="47"/>
  <c r="D21" i="47" s="1"/>
  <c r="B22" i="47"/>
  <c r="D22" i="47" s="1"/>
  <c r="B23" i="47"/>
  <c r="D23" i="47" s="1"/>
  <c r="B24" i="47"/>
  <c r="D24" i="47" s="1"/>
  <c r="B25" i="47"/>
  <c r="D25" i="47" s="1"/>
  <c r="B26" i="47"/>
  <c r="D26" i="47" s="1"/>
  <c r="B27" i="47"/>
  <c r="D27" i="47" s="1"/>
  <c r="B28" i="47"/>
  <c r="B29" i="47"/>
  <c r="D29" i="47" s="1"/>
  <c r="B30" i="47"/>
  <c r="D30" i="47" s="1"/>
  <c r="B31" i="47"/>
  <c r="D31" i="47" s="1"/>
  <c r="B32" i="47"/>
  <c r="B33" i="47"/>
  <c r="B34" i="47"/>
  <c r="B35" i="47"/>
  <c r="D35" i="47" s="1"/>
  <c r="B36" i="47"/>
  <c r="D36" i="47" s="1"/>
  <c r="B37" i="47"/>
  <c r="D37" i="47" s="1"/>
  <c r="B38" i="47"/>
  <c r="D38" i="47" s="1"/>
  <c r="B39" i="47"/>
  <c r="D39" i="47" s="1"/>
  <c r="B40" i="47"/>
  <c r="D40" i="47" s="1"/>
  <c r="B41" i="47"/>
  <c r="D41" i="47" s="1"/>
  <c r="B42" i="47"/>
  <c r="D42" i="47" s="1"/>
  <c r="B43" i="47"/>
  <c r="D43" i="47" s="1"/>
  <c r="B44" i="47"/>
  <c r="B45" i="47"/>
  <c r="D45" i="47" s="1"/>
  <c r="B46" i="47"/>
  <c r="D46" i="47" s="1"/>
  <c r="B47" i="47"/>
  <c r="D47" i="47" s="1"/>
  <c r="B48" i="47"/>
  <c r="B49" i="47"/>
  <c r="B50" i="47"/>
  <c r="B51" i="47"/>
  <c r="B2" i="47"/>
  <c r="B52" i="47" s="1"/>
  <c r="C2" i="47"/>
  <c r="D2" i="47" s="1"/>
  <c r="N21" i="1"/>
  <c r="N6" i="1"/>
  <c r="N26" i="1"/>
  <c r="N43" i="1"/>
  <c r="N38" i="1"/>
  <c r="N33" i="1"/>
  <c r="N23" i="1"/>
  <c r="N35" i="1"/>
  <c r="N16" i="1"/>
  <c r="N10" i="1"/>
  <c r="N49" i="1"/>
  <c r="N39" i="1"/>
  <c r="N30" i="1"/>
  <c r="N36" i="1"/>
  <c r="N11" i="1"/>
  <c r="N24" i="1"/>
  <c r="N22" i="1"/>
  <c r="N3" i="1"/>
  <c r="N41" i="1"/>
  <c r="N19" i="1"/>
  <c r="N44" i="1"/>
  <c r="N13" i="1"/>
  <c r="N31" i="1"/>
  <c r="N40" i="1"/>
  <c r="N9" i="1"/>
  <c r="N37" i="1"/>
  <c r="N46" i="1"/>
  <c r="N5" i="1"/>
  <c r="N14" i="1"/>
  <c r="N47" i="1"/>
  <c r="N45" i="1"/>
  <c r="N4" i="1"/>
  <c r="N20" i="1"/>
  <c r="N28" i="1"/>
  <c r="N25" i="1"/>
  <c r="N18" i="1"/>
  <c r="N50" i="1"/>
  <c r="N27" i="1"/>
  <c r="N2" i="1"/>
  <c r="N34" i="1"/>
  <c r="N8" i="1"/>
  <c r="N15" i="1"/>
  <c r="N29" i="1"/>
  <c r="N12" i="1"/>
  <c r="N51" i="1"/>
  <c r="N32" i="1"/>
  <c r="N42" i="1"/>
  <c r="N7" i="1"/>
  <c r="N17" i="1"/>
  <c r="N48" i="1"/>
  <c r="M11" i="1"/>
  <c r="M32" i="1"/>
  <c r="M45" i="1"/>
  <c r="M20" i="1"/>
  <c r="M28" i="1"/>
  <c r="M31" i="1"/>
  <c r="M16" i="1"/>
  <c r="M24" i="1"/>
  <c r="M29" i="1"/>
  <c r="M2" i="1"/>
  <c r="M38" i="1"/>
  <c r="M44" i="1"/>
  <c r="M12" i="1"/>
  <c r="M25" i="1"/>
  <c r="M42" i="1"/>
  <c r="M49" i="1"/>
  <c r="M7" i="1"/>
  <c r="M50" i="1"/>
  <c r="M8" i="1"/>
  <c r="M19" i="1"/>
  <c r="M26" i="1"/>
  <c r="M9" i="1"/>
  <c r="M27" i="1"/>
  <c r="M22" i="1"/>
  <c r="M4" i="1"/>
  <c r="M39" i="1"/>
  <c r="M33" i="1"/>
  <c r="M17" i="1"/>
  <c r="M34" i="1"/>
  <c r="M30" i="1"/>
  <c r="M36" i="1"/>
  <c r="M40" i="1"/>
  <c r="M15" i="1"/>
  <c r="M13" i="1"/>
  <c r="M23" i="1"/>
  <c r="M41" i="1"/>
  <c r="M18" i="1"/>
  <c r="M37" i="1"/>
  <c r="M47" i="1"/>
  <c r="M14" i="1"/>
  <c r="M21" i="1"/>
  <c r="M35" i="1"/>
  <c r="M5" i="1"/>
  <c r="M43" i="1"/>
  <c r="M6" i="1"/>
  <c r="M46" i="1"/>
  <c r="M51" i="1"/>
  <c r="M3" i="1"/>
  <c r="M48" i="1"/>
  <c r="M10" i="1"/>
  <c r="A5" i="23"/>
  <c r="D57" i="7"/>
  <c r="D56" i="7"/>
  <c r="D55" i="7" a="1"/>
  <c r="D55" i="7" s="1"/>
  <c r="D54" i="7"/>
  <c r="D53" i="7"/>
  <c r="D40" i="7"/>
  <c r="D39" i="7"/>
  <c r="D30" i="7"/>
  <c r="D29" i="7"/>
  <c r="D28" i="7"/>
  <c r="D14" i="7"/>
  <c r="D13" i="7"/>
  <c r="D12" i="7"/>
  <c r="D11" i="7"/>
  <c r="D10" i="7"/>
  <c r="D9" i="7"/>
  <c r="D8" i="7"/>
  <c r="D7" i="7"/>
  <c r="D6" i="7"/>
  <c r="D5" i="7"/>
  <c r="E5" i="23"/>
  <c r="D5" i="23"/>
  <c r="C5" i="23"/>
  <c r="B5" i="23"/>
  <c r="C13" i="23"/>
  <c r="D50" i="7"/>
  <c r="D38" i="7"/>
  <c r="D37" i="7"/>
  <c r="D36" i="7"/>
  <c r="D35" i="7"/>
  <c r="D34" i="7"/>
  <c r="D33" i="7"/>
  <c r="D32" i="7"/>
  <c r="D31" i="7"/>
  <c r="D27" i="7"/>
  <c r="D26" i="7"/>
  <c r="D25" i="7"/>
  <c r="D24" i="7" a="1"/>
  <c r="D24" i="7" s="1"/>
  <c r="D23" i="7"/>
  <c r="D22" i="7"/>
  <c r="D21" i="7"/>
  <c r="D20" i="7"/>
  <c r="D19" i="7"/>
  <c r="D17" i="7"/>
  <c r="D16" i="7"/>
  <c r="D15" i="7"/>
  <c r="D52" i="47" l="1"/>
  <c r="D34" i="47"/>
  <c r="D18" i="47"/>
  <c r="D44" i="47"/>
  <c r="D28" i="47"/>
  <c r="D12" i="47"/>
  <c r="D48" i="47"/>
  <c r="D32" i="47"/>
  <c r="D16" i="47"/>
  <c r="D49" i="47"/>
  <c r="D33" i="47"/>
  <c r="Z27" i="23"/>
  <c r="Z29" i="23"/>
  <c r="Z23" i="23"/>
  <c r="Z22" i="23"/>
  <c r="Z7" i="23"/>
  <c r="Z24" i="23"/>
  <c r="Z13" i="23"/>
  <c r="Z19" i="23"/>
  <c r="Z28" i="23"/>
  <c r="Z10" i="23"/>
  <c r="Z16" i="23"/>
  <c r="Z30" i="23"/>
  <c r="Z20" i="23"/>
  <c r="Z11" i="23"/>
  <c r="Z18" i="23"/>
  <c r="Z6" i="23"/>
  <c r="Z17" i="23"/>
  <c r="Z25" i="23"/>
  <c r="Z14" i="23"/>
  <c r="Z35" i="23"/>
  <c r="Z34" i="23"/>
  <c r="Z21" i="23"/>
  <c r="Z32" i="23"/>
  <c r="Z31" i="23"/>
  <c r="Z9" i="23"/>
  <c r="Z26" i="23"/>
  <c r="Z12" i="23"/>
  <c r="Z33" i="23"/>
  <c r="Z5" i="23"/>
  <c r="Z8" i="23"/>
  <c r="Z15" i="23"/>
  <c r="E36" i="1"/>
  <c r="K36" i="1" s="1"/>
  <c r="E44" i="1"/>
  <c r="K44" i="1" s="1"/>
  <c r="E10" i="1"/>
  <c r="K10" i="1" s="1"/>
  <c r="E16" i="1"/>
  <c r="K16" i="1" s="1"/>
  <c r="E22" i="1"/>
  <c r="K22" i="1" s="1"/>
  <c r="E34" i="1"/>
  <c r="K34" i="1" s="1"/>
  <c r="E30" i="1"/>
  <c r="K30" i="1"/>
  <c r="E12" i="1"/>
  <c r="K12" i="1" s="1"/>
  <c r="E31" i="1"/>
  <c r="K31" i="1" s="1"/>
  <c r="E20" i="1"/>
  <c r="K20" i="1"/>
  <c r="E43" i="1"/>
  <c r="K43" i="1" s="1"/>
  <c r="E19" i="1"/>
  <c r="K19" i="1" s="1"/>
  <c r="E29" i="1"/>
  <c r="K29" i="1"/>
  <c r="E25" i="1"/>
  <c r="K25" i="1" s="1"/>
  <c r="E15" i="1"/>
  <c r="K15" i="1" s="1"/>
  <c r="E33" i="1"/>
  <c r="K33" i="1" s="1"/>
  <c r="E46" i="1"/>
  <c r="K46" i="1"/>
  <c r="E3" i="1"/>
  <c r="K3" i="1"/>
  <c r="E9" i="1"/>
  <c r="K9" i="1"/>
  <c r="E38" i="1"/>
  <c r="K38" i="1" s="1"/>
  <c r="E49" i="1"/>
  <c r="K49" i="1" s="1"/>
  <c r="E23" i="1"/>
  <c r="K23" i="1" s="1"/>
  <c r="E18" i="1"/>
  <c r="K18" i="1"/>
  <c r="E21" i="1"/>
  <c r="K21" i="1" s="1"/>
  <c r="E5" i="1"/>
  <c r="K5" i="1" s="1"/>
  <c r="E50" i="1"/>
  <c r="K50" i="1" s="1"/>
  <c r="E40" i="1"/>
  <c r="K40" i="1"/>
  <c r="E28" i="1"/>
  <c r="K28" i="1" s="1"/>
  <c r="E47" i="1"/>
  <c r="K47" i="1" s="1"/>
  <c r="E6" i="1"/>
  <c r="K6" i="1" s="1"/>
  <c r="E32" i="1"/>
  <c r="K32" i="1" s="1"/>
  <c r="E26" i="1"/>
  <c r="K26" i="1" s="1"/>
  <c r="E2" i="1"/>
  <c r="K2" i="1"/>
  <c r="E39" i="1"/>
  <c r="K39" i="1" s="1"/>
  <c r="E24" i="1"/>
  <c r="K24" i="1" s="1"/>
  <c r="E42" i="1"/>
  <c r="K42" i="1"/>
  <c r="E13" i="1"/>
  <c r="K13" i="1" s="1"/>
  <c r="E4" i="1"/>
  <c r="K4" i="1" s="1"/>
  <c r="E17" i="1"/>
  <c r="K17" i="1" s="1"/>
  <c r="E45" i="1"/>
  <c r="K45" i="1" s="1"/>
  <c r="E51" i="1"/>
  <c r="K51" i="1"/>
  <c r="E48" i="1"/>
  <c r="K48" i="1"/>
  <c r="E27" i="1"/>
  <c r="K27" i="1"/>
  <c r="E14" i="1"/>
  <c r="K14" i="1" s="1"/>
  <c r="E35" i="1"/>
  <c r="K35" i="1" s="1"/>
  <c r="E7" i="1"/>
  <c r="K7" i="1"/>
  <c r="E8" i="1"/>
  <c r="K8" i="1" s="1"/>
  <c r="E41" i="1"/>
  <c r="K41" i="1" s="1"/>
  <c r="E37" i="1"/>
  <c r="K37" i="1" s="1"/>
  <c r="D18" i="7" l="1"/>
  <c r="C9" i="23"/>
  <c r="E11" i="1"/>
  <c r="K11" i="1" s="1"/>
  <c r="W7" i="23" s="1"/>
  <c r="W8" i="23" l="1"/>
  <c r="W5" i="23"/>
  <c r="D9" i="23" a="1"/>
  <c r="D9" i="23" s="1"/>
  <c r="W6"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439EF7-9626-406E-B771-E9D487D581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649DFF-A2B6-4F4D-9673-6E9DA46CCC19}" name="WorksheetConnection_Sales!$B:$B" type="102" refreshedVersion="8" minRefreshableVersion="5">
    <extLst>
      <ext xmlns:x15="http://schemas.microsoft.com/office/spreadsheetml/2010/11/main" uri="{DE250136-89BD-433C-8126-D09CA5730AF9}">
        <x15:connection id="Range 2" autoDelete="1">
          <x15:rangePr sourceName="_xlcn.WorksheetConnection_SalesBB1"/>
        </x15:connection>
      </ext>
    </extLst>
  </connection>
  <connection id="3" xr16:uid="{BACF01C5-0D60-4AC9-AF5C-CCD010EA46FC}" name="WorksheetConnection_Sales!$I:$I" type="102" refreshedVersion="8" minRefreshableVersion="5">
    <extLst>
      <ext xmlns:x15="http://schemas.microsoft.com/office/spreadsheetml/2010/11/main" uri="{DE250136-89BD-433C-8126-D09CA5730AF9}">
        <x15:connection id="Range 4" autoDelete="1">
          <x15:rangePr sourceName="_xlcn.WorksheetConnection_SalesII1"/>
        </x15:connection>
      </ext>
    </extLst>
  </connection>
  <connection id="4" xr16:uid="{15889161-C0E8-4724-8AFD-1C63A849F04D}" name="WorksheetConnection_Sales!$K:$K" type="102" refreshedVersion="8" minRefreshableVersion="5">
    <extLst>
      <ext xmlns:x15="http://schemas.microsoft.com/office/spreadsheetml/2010/11/main" uri="{DE250136-89BD-433C-8126-D09CA5730AF9}">
        <x15:connection id="Range" autoDelete="1">
          <x15:rangePr sourceName="_xlcn.WorksheetConnection_SalesKK1"/>
        </x15:connection>
      </ext>
    </extLst>
  </connection>
  <connection id="5" xr16:uid="{FC02AF46-59DF-4C6B-BB07-F3F6009BA1B7}" name="WorksheetConnection_Sales!$L:$L" type="102" refreshedVersion="8" minRefreshableVersion="5">
    <extLst>
      <ext xmlns:x15="http://schemas.microsoft.com/office/spreadsheetml/2010/11/main" uri="{DE250136-89BD-433C-8126-D09CA5730AF9}">
        <x15:connection id="Range 1" autoDelete="1">
          <x15:rangePr sourceName="_xlcn.WorksheetConnection_SalesLL1"/>
        </x15:connection>
      </ext>
    </extLst>
  </connection>
  <connection id="6" xr16:uid="{1123D4FF-6C0A-4732-8BA4-6B5CB663068C}" name="WorksheetConnection_Sales!$L:$L1" type="102" refreshedVersion="8" minRefreshableVersion="5">
    <extLst>
      <ext xmlns:x15="http://schemas.microsoft.com/office/spreadsheetml/2010/11/main" uri="{DE250136-89BD-433C-8126-D09CA5730AF9}">
        <x15:connection id="Range 3" autoDelete="1">
          <x15:rangePr sourceName="_xlcn.WorksheetConnection_SalesLL11"/>
        </x15:connection>
      </ext>
    </extLst>
  </connection>
  <connection id="7" xr16:uid="{9EEF9420-8829-456C-AA76-5DD351C75F61}" name="WorksheetConnection_Sales_Analytics_Excel_Practice_50_Rows.xlsx!Table2" type="102" refreshedVersion="8" minRefreshableVersion="5">
    <extLst>
      <ext xmlns:x15="http://schemas.microsoft.com/office/spreadsheetml/2010/11/main" uri="{DE250136-89BD-433C-8126-D09CA5730AF9}">
        <x15:connection id="Table2">
          <x15:rangePr sourceName="_xlcn.WorksheetConnection_Sales_Analytics_Excel_Practice_50_Rows.xlsxTable21"/>
        </x15:connection>
      </ext>
    </extLst>
  </connection>
  <connection id="8" xr16:uid="{F3331E7F-FA70-4543-B0D3-BBA4F1422B98}" name="WorksheetConnection_Sales_Analytics_Excel_Practice_50_Rows.xlsx!Table3" type="102" refreshedVersion="8" minRefreshableVersion="5">
    <extLst>
      <ext xmlns:x15="http://schemas.microsoft.com/office/spreadsheetml/2010/11/main" uri="{DE250136-89BD-433C-8126-D09CA5730AF9}">
        <x15:connection id="Table3">
          <x15:rangePr sourceName="_xlcn.WorksheetConnection_Sales_Analytics_Excel_Practice_50_Rows.xlsxTable31"/>
        </x15:connection>
      </ext>
    </extLst>
  </connection>
  <connection id="9" xr16:uid="{E5866FBE-3FC8-4D37-B4CD-C68267732431}" name="WorksheetConnection_Sales_Analytics_Excel_Practice_50_Rows.xlsx!Table4" type="102" refreshedVersion="8" minRefreshableVersion="5">
    <extLst>
      <ext xmlns:x15="http://schemas.microsoft.com/office/spreadsheetml/2010/11/main" uri="{DE250136-89BD-433C-8126-D09CA5730AF9}">
        <x15:connection id="Table4">
          <x15:rangePr sourceName="_xlcn.WorksheetConnection_Sales_Analytics_Excel_Practice_50_Rows.xlsxTable41"/>
        </x15:connection>
      </ext>
    </extLst>
  </connection>
  <connection id="10" xr16:uid="{48839863-8544-4BDB-A12E-E6377ABC3C78}" name="WorksheetConnection_Sales_Analytics_Excel_Practice_50_Rows.xlsx!Table8" type="102" refreshedVersion="8" minRefreshableVersion="5">
    <extLst>
      <ext xmlns:x15="http://schemas.microsoft.com/office/spreadsheetml/2010/11/main" uri="{DE250136-89BD-433C-8126-D09CA5730AF9}">
        <x15:connection id="Table8">
          <x15:rangePr sourceName="_xlcn.WorksheetConnection_Sales_Analytics_Excel_Practice_50_Rows.xlsxTable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<sst xmlns="http://schemas.openxmlformats.org/spreadsheetml/2006/main" count="1888" uniqueCount="629">
  <si>
    <t>Sale_ID</t>
  </si>
  <si>
    <t>Date</t>
  </si>
  <si>
    <t>Customer_ID</t>
  </si>
  <si>
    <t>Product_ID</t>
  </si>
  <si>
    <t>Salesperson_ID</t>
  </si>
  <si>
    <t>Deal_Status</t>
  </si>
  <si>
    <t>Quantity</t>
  </si>
  <si>
    <t>Discount</t>
  </si>
  <si>
    <t>Revenue</t>
  </si>
  <si>
    <t>Lost_Reason</t>
  </si>
  <si>
    <t>S001</t>
  </si>
  <si>
    <t>C001</t>
  </si>
  <si>
    <t>P028</t>
  </si>
  <si>
    <t>SP009</t>
  </si>
  <si>
    <t>Lost</t>
  </si>
  <si>
    <t>No Budget</t>
  </si>
  <si>
    <t>S002</t>
  </si>
  <si>
    <t>C016</t>
  </si>
  <si>
    <t>P032</t>
  </si>
  <si>
    <t>SP024</t>
  </si>
  <si>
    <t>S003</t>
  </si>
  <si>
    <t>C039</t>
  </si>
  <si>
    <t>P027</t>
  </si>
  <si>
    <t>SP035</t>
  </si>
  <si>
    <t>Competitor</t>
  </si>
  <si>
    <t>S004</t>
  </si>
  <si>
    <t>C005</t>
  </si>
  <si>
    <t>P020</t>
  </si>
  <si>
    <t>SP049</t>
  </si>
  <si>
    <t>Won</t>
  </si>
  <si>
    <t>S005</t>
  </si>
  <si>
    <t>C022</t>
  </si>
  <si>
    <t>P024</t>
  </si>
  <si>
    <t>S006</t>
  </si>
  <si>
    <t>C029</t>
  </si>
  <si>
    <t>P012</t>
  </si>
  <si>
    <t>SP048</t>
  </si>
  <si>
    <t>S007</t>
  </si>
  <si>
    <t>C003</t>
  </si>
  <si>
    <t>P050</t>
  </si>
  <si>
    <t>SP036</t>
  </si>
  <si>
    <t>S008</t>
  </si>
  <si>
    <t>C012</t>
  </si>
  <si>
    <t>P035</t>
  </si>
  <si>
    <t>SP018</t>
  </si>
  <si>
    <t>S009</t>
  </si>
  <si>
    <t>C026</t>
  </si>
  <si>
    <t>P033</t>
  </si>
  <si>
    <t>Pending</t>
  </si>
  <si>
    <t>S010</t>
  </si>
  <si>
    <t>SP039</t>
  </si>
  <si>
    <t>S011</t>
  </si>
  <si>
    <t>C037</t>
  </si>
  <si>
    <t>P043</t>
  </si>
  <si>
    <t>SP032</t>
  </si>
  <si>
    <t>S012</t>
  </si>
  <si>
    <t>P037</t>
  </si>
  <si>
    <t>S013</t>
  </si>
  <si>
    <t>SP023</t>
  </si>
  <si>
    <t>S014</t>
  </si>
  <si>
    <t>C014</t>
  </si>
  <si>
    <t>P003</t>
  </si>
  <si>
    <t>S015</t>
  </si>
  <si>
    <t>C028</t>
  </si>
  <si>
    <t>P001</t>
  </si>
  <si>
    <t>SP037</t>
  </si>
  <si>
    <t>S016</t>
  </si>
  <si>
    <t>SP012</t>
  </si>
  <si>
    <t>S017</t>
  </si>
  <si>
    <t>C047</t>
  </si>
  <si>
    <t>P040</t>
  </si>
  <si>
    <t>S018</t>
  </si>
  <si>
    <t>C049</t>
  </si>
  <si>
    <t>P010</t>
  </si>
  <si>
    <t>SP013</t>
  </si>
  <si>
    <t>S019</t>
  </si>
  <si>
    <t>C030</t>
  </si>
  <si>
    <t>S020</t>
  </si>
  <si>
    <t>C046</t>
  </si>
  <si>
    <t>P044</t>
  </si>
  <si>
    <t>SP025</t>
  </si>
  <si>
    <t>S021</t>
  </si>
  <si>
    <t>P029</t>
  </si>
  <si>
    <t>S022</t>
  </si>
  <si>
    <t>P013</t>
  </si>
  <si>
    <t>SP041</t>
  </si>
  <si>
    <t>S023</t>
  </si>
  <si>
    <t>SP030</t>
  </si>
  <si>
    <t>S024</t>
  </si>
  <si>
    <t>P031</t>
  </si>
  <si>
    <t>SP017</t>
  </si>
  <si>
    <t>S025</t>
  </si>
  <si>
    <t>P046</t>
  </si>
  <si>
    <t>S026</t>
  </si>
  <si>
    <t>C048</t>
  </si>
  <si>
    <t>P002</t>
  </si>
  <si>
    <t>SP020</t>
  </si>
  <si>
    <t>Price Too High</t>
  </si>
  <si>
    <t>S027</t>
  </si>
  <si>
    <t>C021</t>
  </si>
  <si>
    <t>S028</t>
  </si>
  <si>
    <t>S029</t>
  </si>
  <si>
    <t>C036</t>
  </si>
  <si>
    <t>P023</t>
  </si>
  <si>
    <t>SP022</t>
  </si>
  <si>
    <t>S030</t>
  </si>
  <si>
    <t>C033</t>
  </si>
  <si>
    <t>P017</t>
  </si>
  <si>
    <t>S031</t>
  </si>
  <si>
    <t>P026</t>
  </si>
  <si>
    <t>SP019</t>
  </si>
  <si>
    <t>S032</t>
  </si>
  <si>
    <t>P008</t>
  </si>
  <si>
    <t>S033</t>
  </si>
  <si>
    <t>C023</t>
  </si>
  <si>
    <t>S034</t>
  </si>
  <si>
    <t>C010</t>
  </si>
  <si>
    <t>S035</t>
  </si>
  <si>
    <t>S036</t>
  </si>
  <si>
    <t>S037</t>
  </si>
  <si>
    <t>C034</t>
  </si>
  <si>
    <t>P034</t>
  </si>
  <si>
    <t>S038</t>
  </si>
  <si>
    <t>C031</t>
  </si>
  <si>
    <t>P041</t>
  </si>
  <si>
    <t>S039</t>
  </si>
  <si>
    <t>P007</t>
  </si>
  <si>
    <t>SP007</t>
  </si>
  <si>
    <t>S040</t>
  </si>
  <si>
    <t>C019</t>
  </si>
  <si>
    <t>P004</t>
  </si>
  <si>
    <t>SP028</t>
  </si>
  <si>
    <t>S041</t>
  </si>
  <si>
    <t>C032</t>
  </si>
  <si>
    <t>SP014</t>
  </si>
  <si>
    <t>S042</t>
  </si>
  <si>
    <t>P045</t>
  </si>
  <si>
    <t>SP031</t>
  </si>
  <si>
    <t>S043</t>
  </si>
  <si>
    <t>P011</t>
  </si>
  <si>
    <t>S044</t>
  </si>
  <si>
    <t>C045</t>
  </si>
  <si>
    <t>SP047</t>
  </si>
  <si>
    <t>S045</t>
  </si>
  <si>
    <t>C004</t>
  </si>
  <si>
    <t>P036</t>
  </si>
  <si>
    <t>SP016</t>
  </si>
  <si>
    <t>S046</t>
  </si>
  <si>
    <t>P025</t>
  </si>
  <si>
    <t>SP005</t>
  </si>
  <si>
    <t>S047</t>
  </si>
  <si>
    <t>C024</t>
  </si>
  <si>
    <t>P021</t>
  </si>
  <si>
    <t>S048</t>
  </si>
  <si>
    <t>S049</t>
  </si>
  <si>
    <t>C002</t>
  </si>
  <si>
    <t>S050</t>
  </si>
  <si>
    <t>SP021</t>
  </si>
  <si>
    <t>Customer_Name</t>
  </si>
  <si>
    <t>Industry</t>
  </si>
  <si>
    <t>Customer_Segment</t>
  </si>
  <si>
    <t>City</t>
  </si>
  <si>
    <t>State</t>
  </si>
  <si>
    <t>Customer 1</t>
  </si>
  <si>
    <t>Education</t>
  </si>
  <si>
    <t>Mid-Market</t>
  </si>
  <si>
    <t>Bengaluru</t>
  </si>
  <si>
    <t>Rajasthan</t>
  </si>
  <si>
    <t>Customer 2</t>
  </si>
  <si>
    <t>Retail</t>
  </si>
  <si>
    <t>Ahmedabad</t>
  </si>
  <si>
    <t>Telangana</t>
  </si>
  <si>
    <t>Customer 3</t>
  </si>
  <si>
    <t>Healthcare</t>
  </si>
  <si>
    <t>Delhi</t>
  </si>
  <si>
    <t>Customer 4</t>
  </si>
  <si>
    <t>Enterprise</t>
  </si>
  <si>
    <t>Mumbai</t>
  </si>
  <si>
    <t>Karnataka</t>
  </si>
  <si>
    <t>Customer 5</t>
  </si>
  <si>
    <t>Jaipur</t>
  </si>
  <si>
    <t>C006</t>
  </si>
  <si>
    <t>Customer 6</t>
  </si>
  <si>
    <t>Finance</t>
  </si>
  <si>
    <t>C007</t>
  </si>
  <si>
    <t>Customer 7</t>
  </si>
  <si>
    <t>C008</t>
  </si>
  <si>
    <t>Customer 8</t>
  </si>
  <si>
    <t>Startup</t>
  </si>
  <si>
    <t>Madhya Pradesh</t>
  </si>
  <si>
    <t>C009</t>
  </si>
  <si>
    <t>Customer 9</t>
  </si>
  <si>
    <t>Indore</t>
  </si>
  <si>
    <t>Customer 10</t>
  </si>
  <si>
    <t>SME</t>
  </si>
  <si>
    <t>Pune</t>
  </si>
  <si>
    <t>C011</t>
  </si>
  <si>
    <t>Customer 11</t>
  </si>
  <si>
    <t>Gujarat</t>
  </si>
  <si>
    <t>Customer 12</t>
  </si>
  <si>
    <t>C013</t>
  </si>
  <si>
    <t>Customer 13</t>
  </si>
  <si>
    <t>Manufacturing</t>
  </si>
  <si>
    <t>Customer 14</t>
  </si>
  <si>
    <t>C015</t>
  </si>
  <si>
    <t>Customer 15</t>
  </si>
  <si>
    <t>Customer 16</t>
  </si>
  <si>
    <t>Maharashtra</t>
  </si>
  <si>
    <t>C017</t>
  </si>
  <si>
    <t>Customer 17</t>
  </si>
  <si>
    <t>C018</t>
  </si>
  <si>
    <t>Customer 18</t>
  </si>
  <si>
    <t>Customer 19</t>
  </si>
  <si>
    <t>C020</t>
  </si>
  <si>
    <t>Customer 20</t>
  </si>
  <si>
    <t>Customer 21</t>
  </si>
  <si>
    <t>Customer 22</t>
  </si>
  <si>
    <t>IT</t>
  </si>
  <si>
    <t>Customer 23</t>
  </si>
  <si>
    <t>Customer 24</t>
  </si>
  <si>
    <t>C025</t>
  </si>
  <si>
    <t>Customer 25</t>
  </si>
  <si>
    <t>Customer 26</t>
  </si>
  <si>
    <t>C027</t>
  </si>
  <si>
    <t>Customer 27</t>
  </si>
  <si>
    <t>Customer 28</t>
  </si>
  <si>
    <t>Customer 29</t>
  </si>
  <si>
    <t>Customer 30</t>
  </si>
  <si>
    <t>Customer 31</t>
  </si>
  <si>
    <t>Customer 32</t>
  </si>
  <si>
    <t>Customer 33</t>
  </si>
  <si>
    <t>Customer 34</t>
  </si>
  <si>
    <t>C035</t>
  </si>
  <si>
    <t>Customer 35</t>
  </si>
  <si>
    <t>Customer 36</t>
  </si>
  <si>
    <t>Customer 37</t>
  </si>
  <si>
    <t>C038</t>
  </si>
  <si>
    <t>Customer 38</t>
  </si>
  <si>
    <t>Customer 39</t>
  </si>
  <si>
    <t>C040</t>
  </si>
  <si>
    <t>Customer 40</t>
  </si>
  <si>
    <t>C041</t>
  </si>
  <si>
    <t>Customer 41</t>
  </si>
  <si>
    <t>C042</t>
  </si>
  <si>
    <t>Customer 42</t>
  </si>
  <si>
    <t>C043</t>
  </si>
  <si>
    <t>Customer 43</t>
  </si>
  <si>
    <t>C044</t>
  </si>
  <si>
    <t>Customer 44</t>
  </si>
  <si>
    <t>Customer 45</t>
  </si>
  <si>
    <t>Customer 46</t>
  </si>
  <si>
    <t>Customer 47</t>
  </si>
  <si>
    <t>Customer 48</t>
  </si>
  <si>
    <t>Customer 49</t>
  </si>
  <si>
    <t>C050</t>
  </si>
  <si>
    <t>Customer 50</t>
  </si>
  <si>
    <t>Product_Name</t>
  </si>
  <si>
    <t>Category</t>
  </si>
  <si>
    <t>Price</t>
  </si>
  <si>
    <t>Software Product 1</t>
  </si>
  <si>
    <t>HR</t>
  </si>
  <si>
    <t>Software Product 2</t>
  </si>
  <si>
    <t>Software Product 3</t>
  </si>
  <si>
    <t>Cloud</t>
  </si>
  <si>
    <t>Software Product 4</t>
  </si>
  <si>
    <t>Security</t>
  </si>
  <si>
    <t>P005</t>
  </si>
  <si>
    <t>Software Product 5</t>
  </si>
  <si>
    <t>CRM</t>
  </si>
  <si>
    <t>P006</t>
  </si>
  <si>
    <t>Software Product 6</t>
  </si>
  <si>
    <t>Software Product 7</t>
  </si>
  <si>
    <t>Software Product 8</t>
  </si>
  <si>
    <t>Analytics</t>
  </si>
  <si>
    <t>P009</t>
  </si>
  <si>
    <t>Software Product 9</t>
  </si>
  <si>
    <t>Software Product 10</t>
  </si>
  <si>
    <t>Software Product 11</t>
  </si>
  <si>
    <t>Software Product 12</t>
  </si>
  <si>
    <t>Software Product 13</t>
  </si>
  <si>
    <t>P014</t>
  </si>
  <si>
    <t>Software Product 14</t>
  </si>
  <si>
    <t>P015</t>
  </si>
  <si>
    <t>Software Product 15</t>
  </si>
  <si>
    <t>P016</t>
  </si>
  <si>
    <t>Software Product 16</t>
  </si>
  <si>
    <t>Support</t>
  </si>
  <si>
    <t>Software Product 17</t>
  </si>
  <si>
    <t>P018</t>
  </si>
  <si>
    <t>Software Product 18</t>
  </si>
  <si>
    <t>Project</t>
  </si>
  <si>
    <t>P019</t>
  </si>
  <si>
    <t>Software Product 19</t>
  </si>
  <si>
    <t>Software Product 20</t>
  </si>
  <si>
    <t>Software Product 21</t>
  </si>
  <si>
    <t>P022</t>
  </si>
  <si>
    <t>Software Product 22</t>
  </si>
  <si>
    <t>Software Product 23</t>
  </si>
  <si>
    <t>Software Product 24</t>
  </si>
  <si>
    <t>Software Product 25</t>
  </si>
  <si>
    <t>Software Product 26</t>
  </si>
  <si>
    <t>Software Product 27</t>
  </si>
  <si>
    <t>Software Product 28</t>
  </si>
  <si>
    <t>Software Product 29</t>
  </si>
  <si>
    <t>P030</t>
  </si>
  <si>
    <t>Software Product 30</t>
  </si>
  <si>
    <t>Software Product 31</t>
  </si>
  <si>
    <t>Software Product 32</t>
  </si>
  <si>
    <t>Software Product 33</t>
  </si>
  <si>
    <t>Software Product 34</t>
  </si>
  <si>
    <t>Software Product 35</t>
  </si>
  <si>
    <t>Software Product 36</t>
  </si>
  <si>
    <t>Software Product 37</t>
  </si>
  <si>
    <t>P038</t>
  </si>
  <si>
    <t>Software Product 38</t>
  </si>
  <si>
    <t>P039</t>
  </si>
  <si>
    <t>Software Product 39</t>
  </si>
  <si>
    <t>Software Product 40</t>
  </si>
  <si>
    <t>Software Product 41</t>
  </si>
  <si>
    <t>P042</t>
  </si>
  <si>
    <t>Software Product 42</t>
  </si>
  <si>
    <t>Software Product 43</t>
  </si>
  <si>
    <t>Software Product 44</t>
  </si>
  <si>
    <t>Software Product 45</t>
  </si>
  <si>
    <t>Software Product 46</t>
  </si>
  <si>
    <t>P047</t>
  </si>
  <si>
    <t>Software Product 47</t>
  </si>
  <si>
    <t>P048</t>
  </si>
  <si>
    <t>Software Product 48</t>
  </si>
  <si>
    <t>P049</t>
  </si>
  <si>
    <t>Software Product 49</t>
  </si>
  <si>
    <t>Software Product 50</t>
  </si>
  <si>
    <t>Salesperson_Name</t>
  </si>
  <si>
    <t>Team</t>
  </si>
  <si>
    <t>Region</t>
  </si>
  <si>
    <t>Manager</t>
  </si>
  <si>
    <t>SP001</t>
  </si>
  <si>
    <t>Salesperson 1</t>
  </si>
  <si>
    <t>East</t>
  </si>
  <si>
    <t>Priya</t>
  </si>
  <si>
    <t>SP002</t>
  </si>
  <si>
    <t>Salesperson 2</t>
  </si>
  <si>
    <t>SMB</t>
  </si>
  <si>
    <t>North</t>
  </si>
  <si>
    <t>Amit</t>
  </si>
  <si>
    <t>SP003</t>
  </si>
  <si>
    <t>Salesperson 3</t>
  </si>
  <si>
    <t>Central</t>
  </si>
  <si>
    <t>SP004</t>
  </si>
  <si>
    <t>Salesperson 4</t>
  </si>
  <si>
    <t>South</t>
  </si>
  <si>
    <t>Vikas</t>
  </si>
  <si>
    <t>Salesperson 5</t>
  </si>
  <si>
    <t>SP006</t>
  </si>
  <si>
    <t>Salesperson 6</t>
  </si>
  <si>
    <t>Salesperson 7</t>
  </si>
  <si>
    <t>Rohit</t>
  </si>
  <si>
    <t>SP008</t>
  </si>
  <si>
    <t>Salesperson 8</t>
  </si>
  <si>
    <t>Neha</t>
  </si>
  <si>
    <t>Salesperson 9</t>
  </si>
  <si>
    <t>SP010</t>
  </si>
  <si>
    <t>Salesperson 10</t>
  </si>
  <si>
    <t>West</t>
  </si>
  <si>
    <t>SP011</t>
  </si>
  <si>
    <t>Salesperson 11</t>
  </si>
  <si>
    <t>Salesperson 12</t>
  </si>
  <si>
    <t>Salesperson 13</t>
  </si>
  <si>
    <t>Salesperson 14</t>
  </si>
  <si>
    <t>SP015</t>
  </si>
  <si>
    <t>Salesperson 15</t>
  </si>
  <si>
    <t>Salesperson 16</t>
  </si>
  <si>
    <t>Salesperson 17</t>
  </si>
  <si>
    <t>Salesperson 18</t>
  </si>
  <si>
    <t>Salesperson 19</t>
  </si>
  <si>
    <t>Salesperson 20</t>
  </si>
  <si>
    <t>Salesperson 21</t>
  </si>
  <si>
    <t>Salesperson 22</t>
  </si>
  <si>
    <t>Salesperson 23</t>
  </si>
  <si>
    <t>Salesperson 24</t>
  </si>
  <si>
    <t>Salesperson 25</t>
  </si>
  <si>
    <t>SP026</t>
  </si>
  <si>
    <t>Salesperson 26</t>
  </si>
  <si>
    <t>SP027</t>
  </si>
  <si>
    <t>Salesperson 27</t>
  </si>
  <si>
    <t>Salesperson 28</t>
  </si>
  <si>
    <t>SP029</t>
  </si>
  <si>
    <t>Salesperson 29</t>
  </si>
  <si>
    <t>Salesperson 30</t>
  </si>
  <si>
    <t>Salesperson 31</t>
  </si>
  <si>
    <t>Salesperson 32</t>
  </si>
  <si>
    <t>SP033</t>
  </si>
  <si>
    <t>Salesperson 33</t>
  </si>
  <si>
    <t>SP034</t>
  </si>
  <si>
    <t>Salesperson 34</t>
  </si>
  <si>
    <t>Salesperson 35</t>
  </si>
  <si>
    <t>Salesperson 36</t>
  </si>
  <si>
    <t>Salesperson 37</t>
  </si>
  <si>
    <t>SP038</t>
  </si>
  <si>
    <t>Salesperson 38</t>
  </si>
  <si>
    <t>Salesperson 39</t>
  </si>
  <si>
    <t>SP040</t>
  </si>
  <si>
    <t>Salesperson 40</t>
  </si>
  <si>
    <t>Salesperson 41</t>
  </si>
  <si>
    <t>SP042</t>
  </si>
  <si>
    <t>Salesperson 42</t>
  </si>
  <si>
    <t>SP043</t>
  </si>
  <si>
    <t>Salesperson 43</t>
  </si>
  <si>
    <t>SP044</t>
  </si>
  <si>
    <t>Salesperson 44</t>
  </si>
  <si>
    <t>SP045</t>
  </si>
  <si>
    <t>Salesperson 45</t>
  </si>
  <si>
    <t>SP046</t>
  </si>
  <si>
    <t>Salesperson 46</t>
  </si>
  <si>
    <t>Salesperson 47</t>
  </si>
  <si>
    <t>Salesperson 48</t>
  </si>
  <si>
    <t>Salesperson 49</t>
  </si>
  <si>
    <t>SP050</t>
  </si>
  <si>
    <t>Salesperson 50</t>
  </si>
  <si>
    <t>Month</t>
  </si>
  <si>
    <t>Target</t>
  </si>
  <si>
    <t>Year</t>
  </si>
  <si>
    <t>Month_Number</t>
  </si>
  <si>
    <t>Quarter</t>
  </si>
  <si>
    <t>Week_Number</t>
  </si>
  <si>
    <t>Day</t>
  </si>
  <si>
    <t>January</t>
  </si>
  <si>
    <t>Q1</t>
  </si>
  <si>
    <t>Thursday</t>
  </si>
  <si>
    <t>Friday</t>
  </si>
  <si>
    <t>Saturday</t>
  </si>
  <si>
    <t>Sunday</t>
  </si>
  <si>
    <t>Monday</t>
  </si>
  <si>
    <t>Tuesday</t>
  </si>
  <si>
    <t>Wednesday</t>
  </si>
  <si>
    <t>February</t>
  </si>
  <si>
    <t>Level</t>
  </si>
  <si>
    <t>Task</t>
  </si>
  <si>
    <t>Excel Skill</t>
  </si>
  <si>
    <t>Basics</t>
  </si>
  <si>
    <t>Format each dataset as an Excel Table.</t>
  </si>
  <si>
    <t>Tables</t>
  </si>
  <si>
    <t>Sort Sales by Revenue largest to smallest.</t>
  </si>
  <si>
    <t>Sort</t>
  </si>
  <si>
    <t>Filter only Won deals.</t>
  </si>
  <si>
    <t>Filter</t>
  </si>
  <si>
    <t>Find Total Revenue.</t>
  </si>
  <si>
    <t>SUM</t>
  </si>
  <si>
    <t>Find Average Revenue.</t>
  </si>
  <si>
    <t>Find highest and lowest Revenue.</t>
  </si>
  <si>
    <t>Count total Sales IDs.</t>
  </si>
  <si>
    <t>Count Won, Lost and Pending deals.</t>
  </si>
  <si>
    <t>Find Won Revenue.</t>
  </si>
  <si>
    <t>Lookup</t>
  </si>
  <si>
    <t>Use XLOOKUP to bring Product Name into Sales.</t>
  </si>
  <si>
    <t>XLOOKUP</t>
  </si>
  <si>
    <t>Use XLOOKUP to bring Product Price into Sales.</t>
  </si>
  <si>
    <t>Use XLOOKUP to bring Customer Segment into Sales.</t>
  </si>
  <si>
    <t>Use XLOOKUP to bring Salesperson Name into Sales.</t>
  </si>
  <si>
    <t>Use INDEX + MATCH to find Customer Industry.</t>
  </si>
  <si>
    <t>INDEX/MATCH</t>
  </si>
  <si>
    <t>Calculate Gross Sales using Quantity × Price.</t>
  </si>
  <si>
    <t>Arithmetic</t>
  </si>
  <si>
    <t>Calculate Net Revenue after Discount.</t>
  </si>
  <si>
    <t>Logic</t>
  </si>
  <si>
    <t>Use IF to classify deals as High/Normal value.</t>
  </si>
  <si>
    <t>IF</t>
  </si>
  <si>
    <t>Use IFS to classify revenue as Low/Medium/High.</t>
  </si>
  <si>
    <t>IFS</t>
  </si>
  <si>
    <t>Use AND to find Won deals above ₹50,000.</t>
  </si>
  <si>
    <t>AND</t>
  </si>
  <si>
    <t>Use OR to find North or West region records.</t>
  </si>
  <si>
    <t>OR</t>
  </si>
  <si>
    <t>Use IFERROR to handle missing lookups.</t>
  </si>
  <si>
    <t>IFERROR</t>
  </si>
  <si>
    <t>Conditional</t>
  </si>
  <si>
    <t>Use SUMIFS for Won Revenue by region.</t>
  </si>
  <si>
    <t>SUMIFS</t>
  </si>
  <si>
    <t>Use COUNTIFS for Won deals by region.</t>
  </si>
  <si>
    <t>COUNTIFS</t>
  </si>
  <si>
    <t>Use AVERAGEIFS for average Won deal value by segment.</t>
  </si>
  <si>
    <t>AVERAGEIFS</t>
  </si>
  <si>
    <t>Text</t>
  </si>
  <si>
    <t>Clean names with TRIM.</t>
  </si>
  <si>
    <t>TRIM</t>
  </si>
  <si>
    <t>Standardize names with PROPER.</t>
  </si>
  <si>
    <t>PROPER</t>
  </si>
  <si>
    <t>Extract text using LEFT and SEARCH.</t>
  </si>
  <si>
    <t>LEFT/SEARCH</t>
  </si>
  <si>
    <t>Combine two fields using TEXTJOIN.</t>
  </si>
  <si>
    <t>TEXTJOIN</t>
  </si>
  <si>
    <t>Count characters using LEN.</t>
  </si>
  <si>
    <t>LEN</t>
  </si>
  <si>
    <t>Dates</t>
  </si>
  <si>
    <t>Extract Year and Month from Date.</t>
  </si>
  <si>
    <t>YEAR/MONTH</t>
  </si>
  <si>
    <t>Create a Month-Year field.</t>
  </si>
  <si>
    <t>TEXT</t>
  </si>
  <si>
    <t>Count sales by month.</t>
  </si>
  <si>
    <t>Calculate monthly Won Revenue.</t>
  </si>
  <si>
    <t>Pivot</t>
  </si>
  <si>
    <t>Create Revenue by Product PivotTable.</t>
  </si>
  <si>
    <t>PivotTable</t>
  </si>
  <si>
    <t>Create Revenue by Region PivotTable.</t>
  </si>
  <si>
    <t>Create Revenue by Salesperson PivotTable.</t>
  </si>
  <si>
    <t>Create Revenue by Customer Segment PivotTable.</t>
  </si>
  <si>
    <t>Create monthly Revenue PivotChart.</t>
  </si>
  <si>
    <t>PivotChart</t>
  </si>
  <si>
    <t>Add slicers for Region and Deal Status.</t>
  </si>
  <si>
    <t>Slicers</t>
  </si>
  <si>
    <t>Cleaning</t>
  </si>
  <si>
    <t>Find duplicate Sale IDs.</t>
  </si>
  <si>
    <t>Duplicates</t>
  </si>
  <si>
    <t>Find duplicate Customer IDs.</t>
  </si>
  <si>
    <t>Find blank cells.</t>
  </si>
  <si>
    <t>Data Cleaning</t>
  </si>
  <si>
    <t>Find Lost deals with Revenue greater than zero.</t>
  </si>
  <si>
    <t>Data Quality</t>
  </si>
  <si>
    <t>Analysis</t>
  </si>
  <si>
    <t>Find Top 5 Products by Revenue.</t>
  </si>
  <si>
    <t>RANK</t>
  </si>
  <si>
    <t>Find Top 5 Salespeople by Revenue.</t>
  </si>
  <si>
    <t>Calculate Product contribution percentage.</t>
  </si>
  <si>
    <t>Percentage</t>
  </si>
  <si>
    <t>Calculate Target Achievement percentage.</t>
  </si>
  <si>
    <t>Target Analysis</t>
  </si>
  <si>
    <t>Compare Actual Revenue vs Target.</t>
  </si>
  <si>
    <t>Calculate Win Rate.</t>
  </si>
  <si>
    <t>Calculate Average Deal Size.</t>
  </si>
  <si>
    <t>Visualization</t>
  </si>
  <si>
    <t>Create KPI cards for Revenue, Won Deals and Win Rate.</t>
  </si>
  <si>
    <t>KPI</t>
  </si>
  <si>
    <t>Create a monthly Revenue line chart.</t>
  </si>
  <si>
    <t>Line Chart</t>
  </si>
  <si>
    <t>Create Product Revenue bar chart.</t>
  </si>
  <si>
    <t>Bar Chart</t>
  </si>
  <si>
    <t>Create Region Revenue column chart.</t>
  </si>
  <si>
    <t>Column Chart</t>
  </si>
  <si>
    <t>Create Deal Status donut chart.</t>
  </si>
  <si>
    <t>Donut Chart</t>
  </si>
  <si>
    <t>Create Top 10 Salesperson chart.</t>
  </si>
  <si>
    <t>Apply conditional formatting to Revenue.</t>
  </si>
  <si>
    <t>Conditional Formatting</t>
  </si>
  <si>
    <t>Advanced</t>
  </si>
  <si>
    <t>Create a Region dropdown using Data Validation.</t>
  </si>
  <si>
    <t>Data Validation</t>
  </si>
  <si>
    <t>Create a dynamic KPI based on selected Region.</t>
  </si>
  <si>
    <t>Dynamic Formula</t>
  </si>
  <si>
    <t>Use SUMPRODUCT for multi-condition analysis.</t>
  </si>
  <si>
    <t>SUMPRODUCT</t>
  </si>
  <si>
    <t>Create a dynamic Top-N analysis.</t>
  </si>
  <si>
    <t>Dynamic Analysis</t>
  </si>
  <si>
    <t>Create a one-page Sales Dashboard.</t>
  </si>
  <si>
    <t>Dashboard</t>
  </si>
  <si>
    <t>Business Challenge</t>
  </si>
  <si>
    <t>Find the weakest region by revenue.</t>
  </si>
  <si>
    <t>Business Analysis</t>
  </si>
  <si>
    <t>Find the best product by revenue.</t>
  </si>
  <si>
    <t>Find the salesperson with the highest Win Rate.</t>
  </si>
  <si>
    <t>Find the biggest reason for Lost deals.</t>
  </si>
  <si>
    <t>Write 5 business insights from the data.</t>
  </si>
  <si>
    <t>Insights</t>
  </si>
  <si>
    <t>Status</t>
  </si>
  <si>
    <t>Answers</t>
  </si>
  <si>
    <t>Done</t>
  </si>
  <si>
    <t>MAX</t>
  </si>
  <si>
    <t>MIN</t>
  </si>
  <si>
    <t>COUNTA</t>
  </si>
  <si>
    <t>COUNT</t>
  </si>
  <si>
    <t>WON</t>
  </si>
  <si>
    <t>LOST</t>
  </si>
  <si>
    <t>COUNTIF/Pending deals</t>
  </si>
  <si>
    <t>done</t>
  </si>
  <si>
    <t>High</t>
  </si>
  <si>
    <t>IF/Normal</t>
  </si>
  <si>
    <t>Mid-    Market</t>
  </si>
  <si>
    <t>Moths</t>
  </si>
  <si>
    <t>Row Labels</t>
  </si>
  <si>
    <t>Grand Total</t>
  </si>
  <si>
    <t>Sum of Revenue</t>
  </si>
  <si>
    <t>pivot 1</t>
  </si>
  <si>
    <t>pivot 2</t>
  </si>
  <si>
    <t>AVERAGE</t>
  </si>
  <si>
    <t>pivot 3</t>
  </si>
  <si>
    <t>Salespeoples name</t>
  </si>
  <si>
    <t>pivot 4</t>
  </si>
  <si>
    <t>Column Labels</t>
  </si>
  <si>
    <t>Jan</t>
  </si>
  <si>
    <t>Feb</t>
  </si>
  <si>
    <t>Mar</t>
  </si>
  <si>
    <t>Apr</t>
  </si>
  <si>
    <t>May</t>
  </si>
  <si>
    <t>Jun</t>
  </si>
  <si>
    <t>pivot 5</t>
  </si>
  <si>
    <t>pivot 6</t>
  </si>
  <si>
    <t>pivot 7</t>
  </si>
  <si>
    <t>TOTAL REVENUE</t>
  </si>
  <si>
    <t>WON REVENUE</t>
  </si>
  <si>
    <t>TOTAL DEALS</t>
  </si>
  <si>
    <t>WON DEALS</t>
  </si>
  <si>
    <t>WIN RATE</t>
  </si>
  <si>
    <t>Sales Dashboard</t>
  </si>
  <si>
    <t>MM-YYYY</t>
  </si>
  <si>
    <t xml:space="preserve">Line Chart </t>
  </si>
  <si>
    <t>Count of Sale_ID</t>
  </si>
  <si>
    <t>Doughnut Chart</t>
  </si>
  <si>
    <t>Select Region</t>
  </si>
  <si>
    <t>REVENUE WON BY REGION</t>
  </si>
  <si>
    <t>Bar Chart 1</t>
  </si>
  <si>
    <t>Bar Chart 2</t>
  </si>
  <si>
    <t>SUM PRODUCT REVENUE</t>
  </si>
  <si>
    <t>DYNAMIC TOP-N</t>
  </si>
  <si>
    <t>REGION</t>
  </si>
  <si>
    <t>REVENUE</t>
  </si>
  <si>
    <t xml:space="preserve">South </t>
  </si>
  <si>
    <t>Products</t>
  </si>
  <si>
    <t>Products Name</t>
  </si>
  <si>
    <t xml:space="preserve">Win Rate </t>
  </si>
  <si>
    <t xml:space="preserve">Won Deals </t>
  </si>
  <si>
    <t>Lost Deals</t>
  </si>
  <si>
    <t>win rate analysis</t>
  </si>
  <si>
    <t xml:space="preserve">Number of Lost Deals </t>
  </si>
  <si>
    <t>the bigget reason for not closing a deal was competitors</t>
  </si>
  <si>
    <t xml:space="preserve">West Region have a most sales and south have lowest sales record </t>
  </si>
  <si>
    <t>win rate is 2.3 %</t>
  </si>
  <si>
    <t xml:space="preserve">Finance project generates the most revenue of total part </t>
  </si>
  <si>
    <t xml:space="preserve">April month have the highest revenue </t>
  </si>
  <si>
    <t>lost deals analysis</t>
  </si>
  <si>
    <t>ALAUKIK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</si>
</sst>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mmm\-yyyy"/>
    <numFmt numFmtId="167" formatCode="[$₹-439]#,##0.00"/>
  </numFmts>
  <fonts count="11">
    <font>
      <sz val="11"/>
      <color theme="1"/>
      <name val="Calibri"/>
      <family val="2"/>
      <scheme val="minor"/>
    </font>
    <font>
      <b/>
      <sz val="11"/>
      <name val="Calibri"/>
    </font>
    <font>
      <b/>
      <sz val="11"/>
      <color rgb="FF000000"/>
      <name val="Calibri"/>
      <family val="2"/>
      <scheme val="minor"/>
    </font>
    <font>
      <sz val="11"/>
      <color rgb="FF000000"/>
      <name val="Calibri"/>
      <family val="2"/>
      <scheme val="minor"/>
    </font>
    <font>
      <sz val="10"/>
      <color theme="1"/>
      <name val="Arial Unicode MS"/>
    </font>
    <font>
      <sz val="8"/>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sz val="11"/>
      <color theme="1"/>
      <name val="Calibri"/>
      <family val="2"/>
      <scheme val="minor"/>
    </font>
    <font>
      <b/>
      <i/>
      <sz val="20"/>
      <color theme="0"/>
      <name val="Bookman Old Style"/>
      <family val="1"/>
    </font>
  </fonts>
  <fills count="11">
    <fill>
      <patternFill patternType="none"/>
    </fill>
    <fill>
      <patternFill patternType="gray125"/>
    </fill>
    <fill>
      <patternFill patternType="solid">
        <fgColor rgb="FFD9EAF7"/>
      </patternFill>
    </fill>
    <fill>
      <patternFill patternType="solid">
        <fgColor rgb="FFD9EAF7"/>
        <bgColor rgb="FF000000"/>
      </patternFill>
    </fill>
    <fill>
      <patternFill patternType="solid">
        <fgColor rgb="FFC6EFCE"/>
      </patternFill>
    </fill>
    <fill>
      <patternFill patternType="solid">
        <fgColor rgb="FFFFCC99"/>
      </patternFill>
    </fill>
    <fill>
      <patternFill patternType="solid">
        <fgColor rgb="FFF2F2F2"/>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5" tint="0.59999389629810485"/>
        <bgColor indexed="65"/>
      </patternFill>
    </fill>
    <fill>
      <patternFill patternType="solid">
        <fgColor theme="5"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rgb="FF000000"/>
      </left>
      <right style="medium">
        <color rgb="FF000000"/>
      </right>
      <top/>
      <bottom style="medium">
        <color rgb="FF00000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0"/>
      </left>
      <right style="thin">
        <color theme="0"/>
      </right>
      <top style="thin">
        <color theme="0"/>
      </top>
      <bottom style="thin">
        <color theme="0"/>
      </bottom>
      <diagonal/>
    </border>
  </borders>
  <cellStyleXfs count="2">
    <xf numFmtId="0" fontId="0" fillId="0" borderId="0"/>
    <xf numFmtId="0" fontId="9" fillId="9" borderId="0" applyNumberFormat="0" applyBorder="0" applyAlignment="0" applyProtection="0"/>
  </cellStyleXfs>
  <cellXfs count="60">
    <xf numFmtId="0" fontId="0" fillId="0" borderId="0" xfId="0"/>
    <xf numFmtId="0" fontId="0" fillId="0" borderId="0" xfId="0" applyAlignment="1">
      <alignment horizontal="center"/>
    </xf>
    <xf numFmtId="0" fontId="0" fillId="0" borderId="0" xfId="0" applyNumberFormat="1" applyAlignment="1">
      <alignment horizontal="center"/>
    </xf>
    <xf numFmtId="0" fontId="0" fillId="0" borderId="1" xfId="0" applyBorder="1"/>
    <xf numFmtId="0" fontId="0" fillId="0" borderId="1" xfId="0" applyBorder="1" applyAlignment="1">
      <alignment horizontal="center"/>
    </xf>
    <xf numFmtId="0" fontId="0" fillId="0" borderId="3" xfId="0"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 fillId="2" borderId="6" xfId="0" applyFont="1" applyFill="1" applyBorder="1" applyAlignment="1">
      <alignment horizontal="center"/>
    </xf>
    <xf numFmtId="0" fontId="1" fillId="2" borderId="2" xfId="0" applyFont="1" applyFill="1" applyBorder="1" applyAlignment="1">
      <alignment horizontal="center"/>
    </xf>
    <xf numFmtId="0" fontId="1" fillId="2" borderId="7" xfId="0" applyFont="1" applyFill="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5" xfId="0" applyNumberFormat="1" applyBorder="1" applyAlignment="1">
      <alignment horizontal="center"/>
    </xf>
    <xf numFmtId="0" fontId="1" fillId="2" borderId="7" xfId="0" applyNumberFormat="1" applyFont="1" applyFill="1" applyBorder="1" applyAlignment="1">
      <alignment horizontal="center"/>
    </xf>
    <xf numFmtId="0" fontId="0" fillId="0" borderId="9" xfId="0" applyNumberFormat="1" applyBorder="1" applyAlignment="1">
      <alignment horizontal="center"/>
    </xf>
    <xf numFmtId="166" fontId="0" fillId="0" borderId="4" xfId="0" applyNumberFormat="1" applyBorder="1" applyAlignment="1">
      <alignment horizontal="center"/>
    </xf>
    <xf numFmtId="166" fontId="0" fillId="0" borderId="8" xfId="0" applyNumberFormat="1" applyBorder="1" applyAlignment="1">
      <alignment horizontal="center"/>
    </xf>
    <xf numFmtId="164" fontId="0" fillId="0" borderId="4" xfId="0" applyNumberFormat="1" applyBorder="1" applyAlignment="1">
      <alignment horizontal="center"/>
    </xf>
    <xf numFmtId="164" fontId="0" fillId="0" borderId="8" xfId="0" applyNumberFormat="1" applyBorder="1" applyAlignment="1">
      <alignment horizontal="center"/>
    </xf>
    <xf numFmtId="0" fontId="3" fillId="0" borderId="0" xfId="0" applyFont="1"/>
    <xf numFmtId="164" fontId="3" fillId="0" borderId="0" xfId="0" applyNumberFormat="1" applyFont="1"/>
    <xf numFmtId="165" fontId="3" fillId="0" borderId="0" xfId="0" applyNumberFormat="1" applyFont="1"/>
    <xf numFmtId="0" fontId="2" fillId="3" borderId="10" xfId="0" applyFont="1" applyFill="1" applyBorder="1" applyAlignment="1">
      <alignment horizontal="center"/>
    </xf>
    <xf numFmtId="0" fontId="0" fillId="0" borderId="1" xfId="0" applyBorder="1" applyAlignment="1">
      <alignment horizontal="right"/>
    </xf>
    <xf numFmtId="0" fontId="4" fillId="0" borderId="0" xfId="0" applyFont="1" applyAlignment="1">
      <alignment horizontal="right" vertical="center"/>
    </xf>
    <xf numFmtId="0" fontId="0" fillId="0" borderId="8" xfId="0" applyBorder="1"/>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4" xfId="0" applyBorder="1"/>
    <xf numFmtId="0" fontId="0" fillId="0" borderId="5" xfId="0" applyBorder="1"/>
    <xf numFmtId="0" fontId="0" fillId="0" borderId="3" xfId="0" applyBorder="1" applyAlignment="1">
      <alignment horizontal="right"/>
    </xf>
    <xf numFmtId="10" fontId="0" fillId="0" borderId="1" xfId="0" applyNumberFormat="1" applyBorder="1" applyAlignment="1">
      <alignment horizontal="right"/>
    </xf>
    <xf numFmtId="0" fontId="7" fillId="5" borderId="11" xfId="0" applyNumberFormat="1" applyFont="1" applyFill="1" applyBorder="1"/>
    <xf numFmtId="0" fontId="6" fillId="4" borderId="0" xfId="0" applyFont="1" applyFill="1" applyAlignment="1">
      <alignment horizontal="left"/>
    </xf>
    <xf numFmtId="0" fontId="0" fillId="0" borderId="0" xfId="0" applyAlignment="1">
      <alignment horizontal="left" indent="1"/>
    </xf>
    <xf numFmtId="0" fontId="6" fillId="4" borderId="0" xfId="0" applyNumberFormat="1" applyFont="1" applyFill="1"/>
    <xf numFmtId="0" fontId="8" fillId="6" borderId="12" xfId="0" applyFont="1" applyFill="1" applyBorder="1" applyAlignment="1">
      <alignment horizontal="left"/>
    </xf>
    <xf numFmtId="0" fontId="8" fillId="6" borderId="12" xfId="0" applyFont="1" applyFill="1" applyBorder="1" applyAlignment="1">
      <alignment horizontal="left" indent="1"/>
    </xf>
    <xf numFmtId="0" fontId="3" fillId="0" borderId="0" xfId="0" applyNumberFormat="1" applyFont="1"/>
    <xf numFmtId="0" fontId="0" fillId="8" borderId="1" xfId="0" applyFont="1" applyFill="1" applyBorder="1" applyAlignment="1">
      <alignment horizontal="center"/>
    </xf>
    <xf numFmtId="0" fontId="0" fillId="7" borderId="1" xfId="0" applyFont="1" applyFill="1" applyBorder="1" applyAlignment="1">
      <alignment horizontal="center"/>
    </xf>
    <xf numFmtId="0" fontId="0" fillId="0" borderId="0" xfId="0" applyFont="1"/>
    <xf numFmtId="0" fontId="3" fillId="8" borderId="13" xfId="0" applyFont="1" applyFill="1" applyBorder="1"/>
    <xf numFmtId="0" fontId="3" fillId="7" borderId="13" xfId="0" applyFont="1" applyFill="1" applyBorder="1"/>
    <xf numFmtId="10" fontId="0" fillId="0" borderId="0" xfId="0" applyNumberFormat="1"/>
    <xf numFmtId="0" fontId="9" fillId="9" borderId="0" xfId="1"/>
    <xf numFmtId="0" fontId="9" fillId="9" borderId="12" xfId="1" applyBorder="1" applyAlignment="1">
      <alignment horizontal="right"/>
    </xf>
    <xf numFmtId="167" fontId="9" fillId="9" borderId="12" xfId="1" applyNumberFormat="1" applyBorder="1" applyAlignment="1">
      <alignment horizontal="right"/>
    </xf>
    <xf numFmtId="10" fontId="9" fillId="9" borderId="12" xfId="1" applyNumberFormat="1" applyBorder="1" applyAlignment="1">
      <alignment horizontal="right"/>
    </xf>
    <xf numFmtId="0" fontId="9" fillId="9" borderId="1" xfId="1" applyBorder="1" applyAlignment="1">
      <alignment horizontal="center"/>
    </xf>
    <xf numFmtId="0" fontId="9" fillId="9" borderId="1" xfId="1" applyBorder="1"/>
    <xf numFmtId="0" fontId="9" fillId="9" borderId="12" xfId="1" applyBorder="1"/>
    <xf numFmtId="0" fontId="9" fillId="9" borderId="1" xfId="1" applyNumberFormat="1" applyBorder="1"/>
    <xf numFmtId="0" fontId="9" fillId="9" borderId="12" xfId="1" applyBorder="1" applyAlignment="1">
      <alignment vertical="center"/>
    </xf>
    <xf numFmtId="0" fontId="10" fillId="10" borderId="0" xfId="1" applyFont="1" applyFill="1" applyAlignment="1">
      <alignment horizontal="center"/>
    </xf>
    <xf numFmtId="0" fontId="9" fillId="10" borderId="0" xfId="1" applyFill="1" applyAlignment="1">
      <alignment horizontal="center"/>
    </xf>
  </cellXfs>
  <cellStyles count="2">
    <cellStyle name="40% - Accent2" xfId="1" builtinId="35"/>
    <cellStyle name="Normal" xfId="0" builtinId="0"/>
  </cellStyles>
  <dxfs count="10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dd\-mmm\-yyyy"/>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mmm\-yyyy"/>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Calibri"/>
        <family val="2"/>
        <scheme val="minor"/>
      </font>
      <numFmt numFmtId="0" formatCode="General"/>
    </dxf>
    <dxf>
      <font>
        <b val="0"/>
        <i val="0"/>
        <strike val="0"/>
        <condense val="0"/>
        <extend val="0"/>
        <outline val="0"/>
        <shadow val="0"/>
        <u val="none"/>
        <vertAlign val="baseline"/>
        <sz val="11"/>
        <color rgb="FF000000"/>
        <name val="Calibri"/>
        <family val="2"/>
        <scheme val="minor"/>
      </font>
      <numFmt numFmtId="0" formatCode="General"/>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minor"/>
      </font>
      <numFmt numFmtId="0" formatCode="General"/>
    </dxf>
    <dxf>
      <font>
        <b val="0"/>
        <i val="0"/>
        <strike val="0"/>
        <condense val="0"/>
        <extend val="0"/>
        <outline val="0"/>
        <shadow val="0"/>
        <u val="none"/>
        <vertAlign val="baseline"/>
        <sz val="11"/>
        <color rgb="FF000000"/>
        <name val="Calibri"/>
        <family val="2"/>
        <scheme val="minor"/>
      </font>
      <numFmt numFmtId="165" formatCode="\₹#,##0.0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0" formatCode="General"/>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dd\-mmm\-yyyy"/>
    </dxf>
    <dxf>
      <font>
        <b val="0"/>
        <i val="0"/>
        <strike val="0"/>
        <condense val="0"/>
        <extend val="0"/>
        <outline val="0"/>
        <shadow val="0"/>
        <u val="none"/>
        <vertAlign val="baseline"/>
        <sz val="11"/>
        <color rgb="FF000000"/>
        <name val="Calibri"/>
        <family val="2"/>
        <scheme val="minor"/>
      </font>
    </dxf>
    <dxf>
      <border outline="0">
        <top style="medium">
          <color rgb="FF000000"/>
        </top>
      </border>
    </dxf>
    <dxf>
      <font>
        <b val="0"/>
        <i val="0"/>
        <strike val="0"/>
        <condense val="0"/>
        <extend val="0"/>
        <outline val="0"/>
        <shadow val="0"/>
        <u val="none"/>
        <vertAlign val="baseline"/>
        <sz val="11"/>
        <color rgb="FF000000"/>
        <name val="Calibri"/>
        <family val="2"/>
        <scheme val="minor"/>
      </font>
    </dxf>
    <dxf>
      <border outline="0">
        <bottom style="medium">
          <color rgb="FF000000"/>
        </bottom>
      </border>
    </dxf>
    <dxf>
      <font>
        <b/>
        <i val="0"/>
        <strike val="0"/>
        <condense val="0"/>
        <extend val="0"/>
        <outline val="0"/>
        <shadow val="0"/>
        <u val="none"/>
        <vertAlign val="baseline"/>
        <sz val="11"/>
        <color rgb="FF000000"/>
        <name val="Calibri"/>
        <family val="2"/>
        <scheme val="minor"/>
      </font>
      <fill>
        <patternFill patternType="solid">
          <fgColor rgb="FF000000"/>
          <bgColor rgb="FFD9EAF7"/>
        </patternFill>
      </fill>
      <alignment horizontal="center" vertical="bottom" textRotation="0" wrapText="0" indent="0" justifyLastLine="0" shrinkToFit="0" readingOrder="0"/>
      <border diagonalUp="0" diagonalDown="0" outline="0">
        <left style="medium">
          <color rgb="FF000000"/>
        </left>
        <right style="medium">
          <color rgb="FF000000"/>
        </right>
        <top/>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Calibri"/>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0" formatCode="General"/>
      <border diagonalUp="0" diagonalDown="0" outline="0">
        <left style="thin">
          <color auto="1"/>
        </left>
        <right style="thin">
          <color auto="1"/>
        </right>
        <top style="thin">
          <color auto="1"/>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5" tint="-0.249977111117893"/>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sharedStrings" Target="sharedStrings.xml"/><Relationship Id="rId21" Type="http://schemas.openxmlformats.org/officeDocument/2006/relationships/worksheet" Target="worksheets/sheet21.xml"/><Relationship Id="rId34" Type="http://schemas.microsoft.com/office/2007/relationships/slicerCache" Target="slicerCaches/slicerCache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microsoft.com/office/2007/relationships/slicerCache" Target="slicerCaches/slicerCache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Dashboard.xlsx]Bar Chart 1!PivotTable14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a:t>
            </a:r>
          </a:p>
          <a:p>
            <a:pPr>
              <a:defRPr/>
            </a:pPr>
            <a:endParaRPr lang="en-US"/>
          </a:p>
        </c:rich>
      </c:tx>
      <c:layout>
        <c:manualLayout>
          <c:xMode val="edge"/>
          <c:yMode val="edge"/>
          <c:x val="0.16714129029089658"/>
          <c:y val="0.1415973003374578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'Bar Chart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 1'!$A$4:$A$38</c:f>
              <c:strCache>
                <c:ptCount val="34"/>
                <c:pt idx="0">
                  <c:v>Software Product 26</c:v>
                </c:pt>
                <c:pt idx="1">
                  <c:v>Software Product 37</c:v>
                </c:pt>
                <c:pt idx="2">
                  <c:v>Software Product 29</c:v>
                </c:pt>
                <c:pt idx="3">
                  <c:v>Software Product 7</c:v>
                </c:pt>
                <c:pt idx="4">
                  <c:v>Software Product 10</c:v>
                </c:pt>
                <c:pt idx="5">
                  <c:v>Software Product 50</c:v>
                </c:pt>
                <c:pt idx="6">
                  <c:v>Software Product 20</c:v>
                </c:pt>
                <c:pt idx="7">
                  <c:v>Software Product 13</c:v>
                </c:pt>
                <c:pt idx="8">
                  <c:v>Software Product 4</c:v>
                </c:pt>
                <c:pt idx="9">
                  <c:v>Software Product 46</c:v>
                </c:pt>
                <c:pt idx="10">
                  <c:v>Software Product 24</c:v>
                </c:pt>
                <c:pt idx="11">
                  <c:v>Software Product 21</c:v>
                </c:pt>
                <c:pt idx="12">
                  <c:v>Software Product 35</c:v>
                </c:pt>
                <c:pt idx="13">
                  <c:v>Software Product 34</c:v>
                </c:pt>
                <c:pt idx="14">
                  <c:v>Software Product 36</c:v>
                </c:pt>
                <c:pt idx="15">
                  <c:v>Software Product 12</c:v>
                </c:pt>
                <c:pt idx="16">
                  <c:v>Software Product 31</c:v>
                </c:pt>
                <c:pt idx="17">
                  <c:v>Software Product 33</c:v>
                </c:pt>
                <c:pt idx="18">
                  <c:v>Software Product 17</c:v>
                </c:pt>
                <c:pt idx="19">
                  <c:v>Software Product 45</c:v>
                </c:pt>
                <c:pt idx="20">
                  <c:v>Software Product 1</c:v>
                </c:pt>
                <c:pt idx="21">
                  <c:v>Software Product 43</c:v>
                </c:pt>
                <c:pt idx="22">
                  <c:v>Software Product 41</c:v>
                </c:pt>
                <c:pt idx="23">
                  <c:v>Software Product 32</c:v>
                </c:pt>
                <c:pt idx="24">
                  <c:v>Software Product 44</c:v>
                </c:pt>
                <c:pt idx="25">
                  <c:v>Software Product 2</c:v>
                </c:pt>
                <c:pt idx="26">
                  <c:v>Software Product 8</c:v>
                </c:pt>
                <c:pt idx="27">
                  <c:v>Software Product 11</c:v>
                </c:pt>
                <c:pt idx="28">
                  <c:v>Software Product 40</c:v>
                </c:pt>
                <c:pt idx="29">
                  <c:v>Software Product 25</c:v>
                </c:pt>
                <c:pt idx="30">
                  <c:v>Software Product 27</c:v>
                </c:pt>
                <c:pt idx="31">
                  <c:v>Software Product 23</c:v>
                </c:pt>
                <c:pt idx="32">
                  <c:v>Software Product 28</c:v>
                </c:pt>
                <c:pt idx="33">
                  <c:v>Software Product 3</c:v>
                </c:pt>
              </c:strCache>
            </c:strRef>
          </c:cat>
          <c:val>
            <c:numRef>
              <c:f>'Bar Chart 1'!$B$4:$B$38</c:f>
              <c:numCache>
                <c:formatCode>General</c:formatCode>
                <c:ptCount val="34"/>
                <c:pt idx="0">
                  <c:v>784564.2</c:v>
                </c:pt>
                <c:pt idx="1">
                  <c:v>592347.80000000005</c:v>
                </c:pt>
                <c:pt idx="2">
                  <c:v>561267.35</c:v>
                </c:pt>
                <c:pt idx="3">
                  <c:v>413500</c:v>
                </c:pt>
                <c:pt idx="4">
                  <c:v>404070</c:v>
                </c:pt>
                <c:pt idx="5">
                  <c:v>293668.2</c:v>
                </c:pt>
                <c:pt idx="6">
                  <c:v>286499.20000000001</c:v>
                </c:pt>
                <c:pt idx="7">
                  <c:v>253880</c:v>
                </c:pt>
                <c:pt idx="8">
                  <c:v>248472.9</c:v>
                </c:pt>
                <c:pt idx="9">
                  <c:v>236384</c:v>
                </c:pt>
                <c:pt idx="10">
                  <c:v>203388</c:v>
                </c:pt>
                <c:pt idx="11">
                  <c:v>143008.25</c:v>
                </c:pt>
                <c:pt idx="12">
                  <c:v>112109.5</c:v>
                </c:pt>
                <c:pt idx="13">
                  <c:v>104018.4</c:v>
                </c:pt>
                <c:pt idx="14">
                  <c:v>74518</c:v>
                </c:pt>
                <c:pt idx="15">
                  <c:v>74176</c:v>
                </c:pt>
                <c:pt idx="16">
                  <c:v>67413.5</c:v>
                </c:pt>
                <c:pt idx="17">
                  <c:v>63079.4</c:v>
                </c:pt>
                <c:pt idx="18">
                  <c:v>56176</c:v>
                </c:pt>
                <c:pt idx="19">
                  <c:v>51272</c:v>
                </c:pt>
                <c:pt idx="20">
                  <c:v>51062.400000000001</c:v>
                </c:pt>
                <c:pt idx="21">
                  <c:v>48594.400000000001</c:v>
                </c:pt>
                <c:pt idx="22">
                  <c:v>22315</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73C4-4C94-A5E1-C1E9C90B1224}"/>
            </c:ext>
          </c:extLst>
        </c:ser>
        <c:dLbls>
          <c:dLblPos val="inEnd"/>
          <c:showLegendKey val="0"/>
          <c:showVal val="1"/>
          <c:showCatName val="0"/>
          <c:showSerName val="0"/>
          <c:showPercent val="0"/>
          <c:showBubbleSize val="0"/>
        </c:dLbls>
        <c:gapWidth val="65"/>
        <c:axId val="1402030831"/>
        <c:axId val="1402025551"/>
      </c:barChart>
      <c:catAx>
        <c:axId val="14020308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2025551"/>
        <c:crosses val="autoZero"/>
        <c:auto val="1"/>
        <c:lblAlgn val="ctr"/>
        <c:lblOffset val="100"/>
        <c:noMultiLvlLbl val="0"/>
      </c:catAx>
      <c:valAx>
        <c:axId val="14020255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020308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Dashboard.xlsx]Column Bar!PivotTable2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Bar'!$B$3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'Column Bar'!$A$4:$A$9</c:f>
              <c:strCache>
                <c:ptCount val="5"/>
                <c:pt idx="0">
                  <c:v>West</c:v>
                </c:pt>
                <c:pt idx="1">
                  <c:v>East</c:v>
                </c:pt>
                <c:pt idx="2">
                  <c:v>North</c:v>
                </c:pt>
                <c:pt idx="3">
                  <c:v>Central</c:v>
                </c:pt>
                <c:pt idx="4">
                  <c:v>South</c:v>
                </c:pt>
              </c:strCache>
            </c:strRef>
          </c:cat>
          <c:val>
            <c:numRef>
              <c:f>'Column Bar'!$B$4:$B$9</c:f>
              <c:numCache>
                <c:formatCode>General</c:formatCode>
                <c:ptCount val="5"/>
                <c:pt idx="0">
                  <c:v>1843220.25</c:v>
                </c:pt>
                <c:pt idx="1">
                  <c:v>1280794.55</c:v>
                </c:pt>
                <c:pt idx="2">
                  <c:v>1035795.3</c:v>
                </c:pt>
                <c:pt idx="3">
                  <c:v>985974.4</c:v>
                </c:pt>
                <c:pt idx="4">
                  <c:v>0</c:v>
                </c:pt>
              </c:numCache>
            </c:numRef>
          </c:val>
          <c:extLst>
            <c:ext xmlns:c16="http://schemas.microsoft.com/office/drawing/2014/chart" uri="{C3380CC4-5D6E-409C-BE32-E72D297353CC}">
              <c16:uniqueId val="{00000000-C240-409C-A83C-C0AF9F683E7B}"/>
            </c:ext>
          </c:extLst>
        </c:ser>
        <c:dLbls>
          <c:dLblPos val="inEnd"/>
          <c:showLegendKey val="0"/>
          <c:showVal val="1"/>
          <c:showCatName val="0"/>
          <c:showSerName val="0"/>
          <c:showPercent val="0"/>
          <c:showBubbleSize val="0"/>
        </c:dLbls>
        <c:gapWidth val="65"/>
        <c:axId val="1410720319"/>
        <c:axId val="1524539391"/>
      </c:barChart>
      <c:catAx>
        <c:axId val="14107203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4539391"/>
        <c:crosses val="autoZero"/>
        <c:auto val="1"/>
        <c:lblAlgn val="ctr"/>
        <c:lblOffset val="100"/>
        <c:noMultiLvlLbl val="0"/>
      </c:catAx>
      <c:valAx>
        <c:axId val="1524539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107203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Dashboard.xlsx]Line Chart!PivotTable12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639083509296308E-2"/>
          <c:y val="0.29495952416434468"/>
          <c:w val="0.79202310537208298"/>
          <c:h val="0.47422286751303772"/>
        </c:manualLayout>
      </c:layout>
      <c:lineChart>
        <c:grouping val="standard"/>
        <c:varyColors val="0"/>
        <c:ser>
          <c:idx val="0"/>
          <c:order val="0"/>
          <c:tx>
            <c:strRef>
              <c:f>'Line Chart'!$B$3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 Chart'!$A$4:$A$10</c:f>
              <c:strCache>
                <c:ptCount val="6"/>
                <c:pt idx="0">
                  <c:v>Jan</c:v>
                </c:pt>
                <c:pt idx="1">
                  <c:v>Feb</c:v>
                </c:pt>
                <c:pt idx="2">
                  <c:v>Mar</c:v>
                </c:pt>
                <c:pt idx="3">
                  <c:v>Apr</c:v>
                </c:pt>
                <c:pt idx="4">
                  <c:v>May</c:v>
                </c:pt>
                <c:pt idx="5">
                  <c:v>Jun</c:v>
                </c:pt>
              </c:strCache>
            </c:strRef>
          </c:cat>
          <c:val>
            <c:numRef>
              <c:f>'Line Chart'!$B$4:$B$10</c:f>
              <c:numCache>
                <c:formatCode>General</c:formatCode>
                <c:ptCount val="6"/>
                <c:pt idx="0">
                  <c:v>1147660</c:v>
                </c:pt>
                <c:pt idx="1">
                  <c:v>357695.6</c:v>
                </c:pt>
                <c:pt idx="2">
                  <c:v>274946.75</c:v>
                </c:pt>
                <c:pt idx="3">
                  <c:v>1885449.85</c:v>
                </c:pt>
                <c:pt idx="4">
                  <c:v>839578.3</c:v>
                </c:pt>
                <c:pt idx="5">
                  <c:v>640454</c:v>
                </c:pt>
              </c:numCache>
            </c:numRef>
          </c:val>
          <c:smooth val="0"/>
          <c:extLst>
            <c:ext xmlns:c16="http://schemas.microsoft.com/office/drawing/2014/chart" uri="{C3380CC4-5D6E-409C-BE32-E72D297353CC}">
              <c16:uniqueId val="{00000000-31E4-4B3F-B178-5708E7511009}"/>
            </c:ext>
          </c:extLst>
        </c:ser>
        <c:dLbls>
          <c:dLblPos val="ctr"/>
          <c:showLegendKey val="0"/>
          <c:showVal val="1"/>
          <c:showCatName val="0"/>
          <c:showSerName val="0"/>
          <c:showPercent val="0"/>
          <c:showBubbleSize val="0"/>
        </c:dLbls>
        <c:marker val="1"/>
        <c:smooth val="0"/>
        <c:axId val="2012054399"/>
        <c:axId val="2012055359"/>
      </c:lineChart>
      <c:catAx>
        <c:axId val="2012054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2055359"/>
        <c:crosses val="autoZero"/>
        <c:auto val="1"/>
        <c:lblAlgn val="ctr"/>
        <c:lblOffset val="100"/>
        <c:noMultiLvlLbl val="0"/>
      </c:catAx>
      <c:valAx>
        <c:axId val="20120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120543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Dashboard.xlsx]Donut Chart!PivotTable5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DEAL STATUS BY SALES COUNT</a:t>
            </a:r>
          </a:p>
          <a:p>
            <a:pPr>
              <a:defRPr/>
            </a:pPr>
            <a:endParaRPr lang="en-US"/>
          </a:p>
        </c:rich>
      </c:tx>
      <c:layout>
        <c:manualLayout>
          <c:xMode val="edge"/>
          <c:yMode val="edge"/>
          <c:x val="0.11038054518369479"/>
          <c:y val="0.1554217487519942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809715810014555"/>
          <c:y val="0.32413083010188409"/>
          <c:w val="0.35073849563428416"/>
          <c:h val="0.54982222185317731"/>
        </c:manualLayout>
      </c:layout>
      <c:doughnutChart>
        <c:varyColors val="1"/>
        <c:ser>
          <c:idx val="0"/>
          <c:order val="0"/>
          <c:tx>
            <c:strRef>
              <c:f>'Donut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D2-40E1-A15C-6795E81FD33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D2-40E1-A15C-6795E81FD33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D2-40E1-A15C-6795E81FD33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Chart'!$A$4:$A$7</c:f>
              <c:strCache>
                <c:ptCount val="3"/>
                <c:pt idx="0">
                  <c:v>Lost</c:v>
                </c:pt>
                <c:pt idx="1">
                  <c:v>Pending</c:v>
                </c:pt>
                <c:pt idx="2">
                  <c:v>Won</c:v>
                </c:pt>
              </c:strCache>
            </c:strRef>
          </c:cat>
          <c:val>
            <c:numRef>
              <c:f>'Donut Chart'!$B$4:$B$7</c:f>
              <c:numCache>
                <c:formatCode>General</c:formatCode>
                <c:ptCount val="3"/>
                <c:pt idx="0">
                  <c:v>14</c:v>
                </c:pt>
                <c:pt idx="1">
                  <c:v>7</c:v>
                </c:pt>
                <c:pt idx="2">
                  <c:v>29</c:v>
                </c:pt>
              </c:numCache>
            </c:numRef>
          </c:val>
          <c:extLst>
            <c:ext xmlns:c16="http://schemas.microsoft.com/office/drawing/2014/chart" uri="{C3380CC4-5D6E-409C-BE32-E72D297353CC}">
              <c16:uniqueId val="{00000006-E3D2-40E1-A15C-6795E81FD33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Dashboard.xlsx]Bar Chart 2!PivotTable13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 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 2'!$A$4:$A$9</c:f>
              <c:strCache>
                <c:ptCount val="5"/>
                <c:pt idx="0">
                  <c:v>Salesperson 35</c:v>
                </c:pt>
                <c:pt idx="1">
                  <c:v>Salesperson 19</c:v>
                </c:pt>
                <c:pt idx="2">
                  <c:v>Salesperson 24</c:v>
                </c:pt>
                <c:pt idx="3">
                  <c:v>Salesperson 49</c:v>
                </c:pt>
                <c:pt idx="4">
                  <c:v>Salesperson 13</c:v>
                </c:pt>
              </c:strCache>
            </c:strRef>
          </c:cat>
          <c:val>
            <c:numRef>
              <c:f>'Bar Chart 2'!$B$4:$B$9</c:f>
              <c:numCache>
                <c:formatCode>General</c:formatCode>
                <c:ptCount val="5"/>
                <c:pt idx="0">
                  <c:v>768445.85</c:v>
                </c:pt>
                <c:pt idx="1">
                  <c:v>574610.4</c:v>
                </c:pt>
                <c:pt idx="2">
                  <c:v>538498</c:v>
                </c:pt>
                <c:pt idx="3">
                  <c:v>522883.2</c:v>
                </c:pt>
                <c:pt idx="4">
                  <c:v>460246</c:v>
                </c:pt>
              </c:numCache>
            </c:numRef>
          </c:val>
          <c:extLst>
            <c:ext xmlns:c16="http://schemas.microsoft.com/office/drawing/2014/chart" uri="{C3380CC4-5D6E-409C-BE32-E72D297353CC}">
              <c16:uniqueId val="{00000000-DF8F-4B17-8F95-4D4FA6AD5666}"/>
            </c:ext>
          </c:extLst>
        </c:ser>
        <c:dLbls>
          <c:dLblPos val="inEnd"/>
          <c:showLegendKey val="0"/>
          <c:showVal val="1"/>
          <c:showCatName val="0"/>
          <c:showSerName val="0"/>
          <c:showPercent val="0"/>
          <c:showBubbleSize val="0"/>
        </c:dLbls>
        <c:gapWidth val="65"/>
        <c:axId val="2102448351"/>
        <c:axId val="2102449311"/>
      </c:barChart>
      <c:catAx>
        <c:axId val="2102448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2449311"/>
        <c:crosses val="autoZero"/>
        <c:auto val="1"/>
        <c:lblAlgn val="ctr"/>
        <c:lblOffset val="100"/>
        <c:noMultiLvlLbl val="0"/>
      </c:catAx>
      <c:valAx>
        <c:axId val="2102449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024483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Dashboard.xlsx]Line Chart!PivotTable12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strRef>
              <c:f>'Line Chart'!$A$4:$A$10</c:f>
              <c:strCache>
                <c:ptCount val="6"/>
                <c:pt idx="0">
                  <c:v>Jan</c:v>
                </c:pt>
                <c:pt idx="1">
                  <c:v>Feb</c:v>
                </c:pt>
                <c:pt idx="2">
                  <c:v>Mar</c:v>
                </c:pt>
                <c:pt idx="3">
                  <c:v>Apr</c:v>
                </c:pt>
                <c:pt idx="4">
                  <c:v>May</c:v>
                </c:pt>
                <c:pt idx="5">
                  <c:v>Jun</c:v>
                </c:pt>
              </c:strCache>
            </c:strRef>
          </c:cat>
          <c:val>
            <c:numRef>
              <c:f>'Line Chart'!$B$4:$B$10</c:f>
              <c:numCache>
                <c:formatCode>General</c:formatCode>
                <c:ptCount val="6"/>
                <c:pt idx="0">
                  <c:v>1147660</c:v>
                </c:pt>
                <c:pt idx="1">
                  <c:v>357695.6</c:v>
                </c:pt>
                <c:pt idx="2">
                  <c:v>274946.75</c:v>
                </c:pt>
                <c:pt idx="3">
                  <c:v>1885449.85</c:v>
                </c:pt>
                <c:pt idx="4">
                  <c:v>839578.3</c:v>
                </c:pt>
                <c:pt idx="5">
                  <c:v>640454</c:v>
                </c:pt>
              </c:numCache>
            </c:numRef>
          </c:val>
          <c:smooth val="0"/>
          <c:extLst>
            <c:ext xmlns:c16="http://schemas.microsoft.com/office/drawing/2014/chart" uri="{C3380CC4-5D6E-409C-BE32-E72D297353CC}">
              <c16:uniqueId val="{00000000-487C-4117-8A7B-E1515F28E540}"/>
            </c:ext>
          </c:extLst>
        </c:ser>
        <c:dLbls>
          <c:showLegendKey val="0"/>
          <c:showVal val="0"/>
          <c:showCatName val="0"/>
          <c:showSerName val="0"/>
          <c:showPercent val="0"/>
          <c:showBubbleSize val="0"/>
        </c:dLbls>
        <c:smooth val="0"/>
        <c:axId val="2012054399"/>
        <c:axId val="2012055359"/>
      </c:lineChart>
      <c:catAx>
        <c:axId val="201205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55359"/>
        <c:crosses val="autoZero"/>
        <c:auto val="1"/>
        <c:lblAlgn val="ctr"/>
        <c:lblOffset val="100"/>
        <c:noMultiLvlLbl val="0"/>
      </c:catAx>
      <c:valAx>
        <c:axId val="201205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05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Dashboard.xlsx]Bar Chart 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 1'!$B$3</c:f>
              <c:strCache>
                <c:ptCount val="1"/>
                <c:pt idx="0">
                  <c:v>Total</c:v>
                </c:pt>
              </c:strCache>
            </c:strRef>
          </c:tx>
          <c:spPr>
            <a:solidFill>
              <a:schemeClr val="accent1"/>
            </a:solidFill>
            <a:ln>
              <a:noFill/>
            </a:ln>
            <a:effectLst/>
          </c:spPr>
          <c:invertIfNegative val="0"/>
          <c:cat>
            <c:strRef>
              <c:f>'Bar Chart 1'!$A$4:$A$38</c:f>
              <c:strCache>
                <c:ptCount val="34"/>
                <c:pt idx="0">
                  <c:v>Software Product 26</c:v>
                </c:pt>
                <c:pt idx="1">
                  <c:v>Software Product 37</c:v>
                </c:pt>
                <c:pt idx="2">
                  <c:v>Software Product 29</c:v>
                </c:pt>
                <c:pt idx="3">
                  <c:v>Software Product 7</c:v>
                </c:pt>
                <c:pt idx="4">
                  <c:v>Software Product 10</c:v>
                </c:pt>
                <c:pt idx="5">
                  <c:v>Software Product 50</c:v>
                </c:pt>
                <c:pt idx="6">
                  <c:v>Software Product 20</c:v>
                </c:pt>
                <c:pt idx="7">
                  <c:v>Software Product 13</c:v>
                </c:pt>
                <c:pt idx="8">
                  <c:v>Software Product 4</c:v>
                </c:pt>
                <c:pt idx="9">
                  <c:v>Software Product 46</c:v>
                </c:pt>
                <c:pt idx="10">
                  <c:v>Software Product 24</c:v>
                </c:pt>
                <c:pt idx="11">
                  <c:v>Software Product 21</c:v>
                </c:pt>
                <c:pt idx="12">
                  <c:v>Software Product 35</c:v>
                </c:pt>
                <c:pt idx="13">
                  <c:v>Software Product 34</c:v>
                </c:pt>
                <c:pt idx="14">
                  <c:v>Software Product 36</c:v>
                </c:pt>
                <c:pt idx="15">
                  <c:v>Software Product 12</c:v>
                </c:pt>
                <c:pt idx="16">
                  <c:v>Software Product 31</c:v>
                </c:pt>
                <c:pt idx="17">
                  <c:v>Software Product 33</c:v>
                </c:pt>
                <c:pt idx="18">
                  <c:v>Software Product 17</c:v>
                </c:pt>
                <c:pt idx="19">
                  <c:v>Software Product 45</c:v>
                </c:pt>
                <c:pt idx="20">
                  <c:v>Software Product 1</c:v>
                </c:pt>
                <c:pt idx="21">
                  <c:v>Software Product 43</c:v>
                </c:pt>
                <c:pt idx="22">
                  <c:v>Software Product 41</c:v>
                </c:pt>
                <c:pt idx="23">
                  <c:v>Software Product 32</c:v>
                </c:pt>
                <c:pt idx="24">
                  <c:v>Software Product 44</c:v>
                </c:pt>
                <c:pt idx="25">
                  <c:v>Software Product 2</c:v>
                </c:pt>
                <c:pt idx="26">
                  <c:v>Software Product 8</c:v>
                </c:pt>
                <c:pt idx="27">
                  <c:v>Software Product 11</c:v>
                </c:pt>
                <c:pt idx="28">
                  <c:v>Software Product 40</c:v>
                </c:pt>
                <c:pt idx="29">
                  <c:v>Software Product 25</c:v>
                </c:pt>
                <c:pt idx="30">
                  <c:v>Software Product 27</c:v>
                </c:pt>
                <c:pt idx="31">
                  <c:v>Software Product 23</c:v>
                </c:pt>
                <c:pt idx="32">
                  <c:v>Software Product 28</c:v>
                </c:pt>
                <c:pt idx="33">
                  <c:v>Software Product 3</c:v>
                </c:pt>
              </c:strCache>
            </c:strRef>
          </c:cat>
          <c:val>
            <c:numRef>
              <c:f>'Bar Chart 1'!$B$4:$B$38</c:f>
              <c:numCache>
                <c:formatCode>General</c:formatCode>
                <c:ptCount val="34"/>
                <c:pt idx="0">
                  <c:v>784564.2</c:v>
                </c:pt>
                <c:pt idx="1">
                  <c:v>592347.80000000005</c:v>
                </c:pt>
                <c:pt idx="2">
                  <c:v>561267.35</c:v>
                </c:pt>
                <c:pt idx="3">
                  <c:v>413500</c:v>
                </c:pt>
                <c:pt idx="4">
                  <c:v>404070</c:v>
                </c:pt>
                <c:pt idx="5">
                  <c:v>293668.2</c:v>
                </c:pt>
                <c:pt idx="6">
                  <c:v>286499.20000000001</c:v>
                </c:pt>
                <c:pt idx="7">
                  <c:v>253880</c:v>
                </c:pt>
                <c:pt idx="8">
                  <c:v>248472.9</c:v>
                </c:pt>
                <c:pt idx="9">
                  <c:v>236384</c:v>
                </c:pt>
                <c:pt idx="10">
                  <c:v>203388</c:v>
                </c:pt>
                <c:pt idx="11">
                  <c:v>143008.25</c:v>
                </c:pt>
                <c:pt idx="12">
                  <c:v>112109.5</c:v>
                </c:pt>
                <c:pt idx="13">
                  <c:v>104018.4</c:v>
                </c:pt>
                <c:pt idx="14">
                  <c:v>74518</c:v>
                </c:pt>
                <c:pt idx="15">
                  <c:v>74176</c:v>
                </c:pt>
                <c:pt idx="16">
                  <c:v>67413.5</c:v>
                </c:pt>
                <c:pt idx="17">
                  <c:v>63079.4</c:v>
                </c:pt>
                <c:pt idx="18">
                  <c:v>56176</c:v>
                </c:pt>
                <c:pt idx="19">
                  <c:v>51272</c:v>
                </c:pt>
                <c:pt idx="20">
                  <c:v>51062.400000000001</c:v>
                </c:pt>
                <c:pt idx="21">
                  <c:v>48594.400000000001</c:v>
                </c:pt>
                <c:pt idx="22">
                  <c:v>22315</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2B90-4E93-93C8-CC1D18E9C405}"/>
            </c:ext>
          </c:extLst>
        </c:ser>
        <c:dLbls>
          <c:showLegendKey val="0"/>
          <c:showVal val="0"/>
          <c:showCatName val="0"/>
          <c:showSerName val="0"/>
          <c:showPercent val="0"/>
          <c:showBubbleSize val="0"/>
        </c:dLbls>
        <c:gapWidth val="182"/>
        <c:axId val="1402030831"/>
        <c:axId val="1402025551"/>
      </c:barChart>
      <c:catAx>
        <c:axId val="140203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25551"/>
        <c:crosses val="autoZero"/>
        <c:auto val="1"/>
        <c:lblAlgn val="ctr"/>
        <c:lblOffset val="100"/>
        <c:noMultiLvlLbl val="0"/>
      </c:catAx>
      <c:valAx>
        <c:axId val="140202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3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Dashboard.xlsx]Column Bar!PivotTable2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Bar'!$B$3</c:f>
              <c:strCache>
                <c:ptCount val="1"/>
                <c:pt idx="0">
                  <c:v>Total</c:v>
                </c:pt>
              </c:strCache>
            </c:strRef>
          </c:tx>
          <c:spPr>
            <a:solidFill>
              <a:schemeClr val="accent1"/>
            </a:solidFill>
            <a:ln>
              <a:noFill/>
            </a:ln>
            <a:effectLst/>
          </c:spPr>
          <c:invertIfNegative val="0"/>
          <c:cat>
            <c:strRef>
              <c:f>'Column Bar'!$A$4:$A$9</c:f>
              <c:strCache>
                <c:ptCount val="5"/>
                <c:pt idx="0">
                  <c:v>West</c:v>
                </c:pt>
                <c:pt idx="1">
                  <c:v>East</c:v>
                </c:pt>
                <c:pt idx="2">
                  <c:v>North</c:v>
                </c:pt>
                <c:pt idx="3">
                  <c:v>Central</c:v>
                </c:pt>
                <c:pt idx="4">
                  <c:v>South</c:v>
                </c:pt>
              </c:strCache>
            </c:strRef>
          </c:cat>
          <c:val>
            <c:numRef>
              <c:f>'Column Bar'!$B$4:$B$9</c:f>
              <c:numCache>
                <c:formatCode>General</c:formatCode>
                <c:ptCount val="5"/>
                <c:pt idx="0">
                  <c:v>1843220.25</c:v>
                </c:pt>
                <c:pt idx="1">
                  <c:v>1280794.55</c:v>
                </c:pt>
                <c:pt idx="2">
                  <c:v>1035795.3</c:v>
                </c:pt>
                <c:pt idx="3">
                  <c:v>985974.4</c:v>
                </c:pt>
                <c:pt idx="4">
                  <c:v>0</c:v>
                </c:pt>
              </c:numCache>
            </c:numRef>
          </c:val>
          <c:extLst>
            <c:ext xmlns:c16="http://schemas.microsoft.com/office/drawing/2014/chart" uri="{C3380CC4-5D6E-409C-BE32-E72D297353CC}">
              <c16:uniqueId val="{00000000-2C4A-43A5-B3C1-AF3F7028D4A2}"/>
            </c:ext>
          </c:extLst>
        </c:ser>
        <c:dLbls>
          <c:showLegendKey val="0"/>
          <c:showVal val="0"/>
          <c:showCatName val="0"/>
          <c:showSerName val="0"/>
          <c:showPercent val="0"/>
          <c:showBubbleSize val="0"/>
        </c:dLbls>
        <c:gapWidth val="219"/>
        <c:overlap val="-27"/>
        <c:axId val="1410720319"/>
        <c:axId val="1524539391"/>
      </c:barChart>
      <c:catAx>
        <c:axId val="141072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539391"/>
        <c:crosses val="autoZero"/>
        <c:auto val="1"/>
        <c:lblAlgn val="ctr"/>
        <c:lblOffset val="100"/>
        <c:noMultiLvlLbl val="0"/>
      </c:catAx>
      <c:valAx>
        <c:axId val="152453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72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Dashboard.xlsx]Donut Chart!PivotTable5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DEAL</a:t>
            </a:r>
            <a:r>
              <a:rPr lang="en-US" baseline="0"/>
              <a:t> STATUS BY SALES COUNT</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B1-436C-A9BA-C6B70F7F935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B1-436C-A9BA-C6B70F7F935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B1-436C-A9BA-C6B70F7F93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 Chart'!$A$4:$A$7</c:f>
              <c:strCache>
                <c:ptCount val="3"/>
                <c:pt idx="0">
                  <c:v>Lost</c:v>
                </c:pt>
                <c:pt idx="1">
                  <c:v>Pending</c:v>
                </c:pt>
                <c:pt idx="2">
                  <c:v>Won</c:v>
                </c:pt>
              </c:strCache>
            </c:strRef>
          </c:cat>
          <c:val>
            <c:numRef>
              <c:f>'Donut Chart'!$B$4:$B$7</c:f>
              <c:numCache>
                <c:formatCode>General</c:formatCode>
                <c:ptCount val="3"/>
                <c:pt idx="0">
                  <c:v>14</c:v>
                </c:pt>
                <c:pt idx="1">
                  <c:v>7</c:v>
                </c:pt>
                <c:pt idx="2">
                  <c:v>29</c:v>
                </c:pt>
              </c:numCache>
            </c:numRef>
          </c:val>
          <c:extLst>
            <c:ext xmlns:c16="http://schemas.microsoft.com/office/drawing/2014/chart" uri="{C3380CC4-5D6E-409C-BE32-E72D297353CC}">
              <c16:uniqueId val="{00000000-8021-4DFA-871D-C8D54DDBDFF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[Alaukik Sales Dashboard.xlsx]Bar Chart 2!PivotTable13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 2'!$B$3</c:f>
              <c:strCache>
                <c:ptCount val="1"/>
                <c:pt idx="0">
                  <c:v>Total</c:v>
                </c:pt>
              </c:strCache>
            </c:strRef>
          </c:tx>
          <c:spPr>
            <a:solidFill>
              <a:schemeClr val="accent1"/>
            </a:solidFill>
            <a:ln>
              <a:noFill/>
            </a:ln>
            <a:effectLst/>
          </c:spPr>
          <c:invertIfNegative val="0"/>
          <c:cat>
            <c:strRef>
              <c:f>'Bar Chart 2'!$A$4:$A$9</c:f>
              <c:strCache>
                <c:ptCount val="5"/>
                <c:pt idx="0">
                  <c:v>Salesperson 35</c:v>
                </c:pt>
                <c:pt idx="1">
                  <c:v>Salesperson 19</c:v>
                </c:pt>
                <c:pt idx="2">
                  <c:v>Salesperson 24</c:v>
                </c:pt>
                <c:pt idx="3">
                  <c:v>Salesperson 49</c:v>
                </c:pt>
                <c:pt idx="4">
                  <c:v>Salesperson 13</c:v>
                </c:pt>
              </c:strCache>
            </c:strRef>
          </c:cat>
          <c:val>
            <c:numRef>
              <c:f>'Bar Chart 2'!$B$4:$B$9</c:f>
              <c:numCache>
                <c:formatCode>General</c:formatCode>
                <c:ptCount val="5"/>
                <c:pt idx="0">
                  <c:v>768445.85</c:v>
                </c:pt>
                <c:pt idx="1">
                  <c:v>574610.4</c:v>
                </c:pt>
                <c:pt idx="2">
                  <c:v>538498</c:v>
                </c:pt>
                <c:pt idx="3">
                  <c:v>522883.2</c:v>
                </c:pt>
                <c:pt idx="4">
                  <c:v>460246</c:v>
                </c:pt>
              </c:numCache>
            </c:numRef>
          </c:val>
          <c:extLst>
            <c:ext xmlns:c16="http://schemas.microsoft.com/office/drawing/2014/chart" uri="{C3380CC4-5D6E-409C-BE32-E72D297353CC}">
              <c16:uniqueId val="{00000000-83D7-428F-BB9D-554F2BFB6D7B}"/>
            </c:ext>
          </c:extLst>
        </c:ser>
        <c:dLbls>
          <c:showLegendKey val="0"/>
          <c:showVal val="0"/>
          <c:showCatName val="0"/>
          <c:showSerName val="0"/>
          <c:showPercent val="0"/>
          <c:showBubbleSize val="0"/>
        </c:dLbls>
        <c:gapWidth val="182"/>
        <c:axId val="2102448351"/>
        <c:axId val="2102449311"/>
      </c:barChart>
      <c:catAx>
        <c:axId val="210244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49311"/>
        <c:crosses val="autoZero"/>
        <c:auto val="1"/>
        <c:lblAlgn val="ctr"/>
        <c:lblOffset val="100"/>
        <c:noMultiLvlLbl val="0"/>
      </c:catAx>
      <c:valAx>
        <c:axId val="210244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4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2</xdr:row>
      <xdr:rowOff>25400</xdr:rowOff>
    </xdr:from>
    <xdr:to>
      <xdr:col>10</xdr:col>
      <xdr:colOff>38100</xdr:colOff>
      <xdr:row>15</xdr:row>
      <xdr:rowOff>155575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4611EA3-19A0-FBC0-5F7D-A2C45A4827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3870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450850</xdr:colOff>
      <xdr:row>2</xdr:row>
      <xdr:rowOff>25400</xdr:rowOff>
    </xdr:from>
    <xdr:to>
      <xdr:col>13</xdr:col>
      <xdr:colOff>450850</xdr:colOff>
      <xdr:row>15</xdr:row>
      <xdr:rowOff>155575</xdr:rowOff>
    </xdr:to>
    <mc:AlternateContent xmlns:mc="http://schemas.openxmlformats.org/markup-compatibility/2006" xmlns:a14="http://schemas.microsoft.com/office/drawing/2010/main">
      <mc:Choice Requires="a14">
        <xdr:graphicFrame macro="">
          <xdr:nvGraphicFramePr>
            <xdr:cNvPr id="3" name="Deal_Status">
              <a:extLst>
                <a:ext uri="{FF2B5EF4-FFF2-40B4-BE49-F238E27FC236}">
                  <a16:creationId xmlns:a16="http://schemas.microsoft.com/office/drawing/2014/main" id="{55ADBDF8-E5A2-8F75-2118-6F169A176C2B}"/>
                </a:ext>
              </a:extLst>
            </xdr:cNvPr>
            <xdr:cNvGraphicFramePr/>
          </xdr:nvGraphicFramePr>
          <xdr:xfrm>
            <a:off x="0" y="0"/>
            <a:ext cx="0" cy="0"/>
          </xdr:xfrm>
          <a:graphic>
            <a:graphicData uri="http://schemas.microsoft.com/office/drawing/2010/slicer">
              <sle:slicer xmlns:sle="http://schemas.microsoft.com/office/drawing/2010/slicer" name="Deal_Status"/>
            </a:graphicData>
          </a:graphic>
        </xdr:graphicFrame>
      </mc:Choice>
      <mc:Fallback xmlns="">
        <xdr:sp macro="" textlink="">
          <xdr:nvSpPr>
            <xdr:cNvPr id="0" name=""/>
            <xdr:cNvSpPr>
              <a:spLocks noTextEdit="1"/>
            </xdr:cNvSpPr>
          </xdr:nvSpPr>
          <xdr:spPr>
            <a:xfrm>
              <a:off x="708025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517050</xdr:colOff>
      <xdr:row>3</xdr:row>
      <xdr:rowOff>0</xdr:rowOff>
    </xdr:from>
    <xdr:to>
      <xdr:col>20</xdr:col>
      <xdr:colOff>296333</xdr:colOff>
      <xdr:row>16</xdr:row>
      <xdr:rowOff>173182</xdr:rowOff>
    </xdr:to>
    <xdr:graphicFrame macro="">
      <xdr:nvGraphicFramePr>
        <xdr:cNvPr id="2" name="Chart 1">
          <a:extLst>
            <a:ext uri="{FF2B5EF4-FFF2-40B4-BE49-F238E27FC236}">
              <a16:creationId xmlns:a16="http://schemas.microsoft.com/office/drawing/2014/main" id="{50D09464-9192-4F4C-9E51-0F171C72F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12701</xdr:colOff>
      <xdr:row>17</xdr:row>
      <xdr:rowOff>174314</xdr:rowOff>
    </xdr:from>
    <xdr:to>
      <xdr:col>4</xdr:col>
      <xdr:colOff>919656</xdr:colOff>
      <xdr:row>33</xdr:row>
      <xdr:rowOff>175173</xdr:rowOff>
    </xdr:to>
    <xdr:graphicFrame macro="">
      <xdr:nvGraphicFramePr>
        <xdr:cNvPr id="3" name="Chart 2">
          <a:extLst>
            <a:ext uri="{FF2B5EF4-FFF2-40B4-BE49-F238E27FC236}">
              <a16:creationId xmlns:a16="http://schemas.microsoft.com/office/drawing/2014/main" id="{06965AFE-6A38-48D1-AAB6-D9C91D7D3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243525</xdr:colOff>
      <xdr:row>3</xdr:row>
      <xdr:rowOff>0</xdr:rowOff>
    </xdr:from>
    <xdr:to>
      <xdr:col>11</xdr:col>
      <xdr:colOff>255868</xdr:colOff>
      <xdr:row>17</xdr:row>
      <xdr:rowOff>10948</xdr:rowOff>
    </xdr:to>
    <xdr:graphicFrame macro="">
      <xdr:nvGraphicFramePr>
        <xdr:cNvPr id="4" name="Chart 3">
          <a:extLst>
            <a:ext uri="{FF2B5EF4-FFF2-40B4-BE49-F238E27FC236}">
              <a16:creationId xmlns:a16="http://schemas.microsoft.com/office/drawing/2014/main" id="{7F7309B4-49B0-4517-BD49-9BA70E149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2306</xdr:colOff>
      <xdr:row>17</xdr:row>
      <xdr:rowOff>176676</xdr:rowOff>
    </xdr:from>
    <xdr:to>
      <xdr:col>11</xdr:col>
      <xdr:colOff>264583</xdr:colOff>
      <xdr:row>34</xdr:row>
      <xdr:rowOff>12451</xdr:rowOff>
    </xdr:to>
    <xdr:graphicFrame macro="">
      <xdr:nvGraphicFramePr>
        <xdr:cNvPr id="5" name="Chart 4">
          <a:extLst>
            <a:ext uri="{FF2B5EF4-FFF2-40B4-BE49-F238E27FC236}">
              <a16:creationId xmlns:a16="http://schemas.microsoft.com/office/drawing/2014/main" id="{B519115C-3A36-42E9-A5C0-78CA58A60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529167</xdr:colOff>
      <xdr:row>17</xdr:row>
      <xdr:rowOff>179916</xdr:rowOff>
    </xdr:from>
    <xdr:to>
      <xdr:col>20</xdr:col>
      <xdr:colOff>269563</xdr:colOff>
      <xdr:row>34</xdr:row>
      <xdr:rowOff>-1</xdr:rowOff>
    </xdr:to>
    <xdr:graphicFrame macro="">
      <xdr:nvGraphicFramePr>
        <xdr:cNvPr id="6" name="Chart 5">
          <a:extLst>
            <a:ext uri="{FF2B5EF4-FFF2-40B4-BE49-F238E27FC236}">
              <a16:creationId xmlns:a16="http://schemas.microsoft.com/office/drawing/2014/main" id="{5772847F-9CD6-4FA6-A18A-479E735C5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606425</xdr:colOff>
      <xdr:row>2</xdr:row>
      <xdr:rowOff>9525</xdr:rowOff>
    </xdr:from>
    <xdr:to>
      <xdr:col>10</xdr:col>
      <xdr:colOff>301625</xdr:colOff>
      <xdr:row>16</xdr:row>
      <xdr:rowOff>174625</xdr:rowOff>
    </xdr:to>
    <xdr:graphicFrame macro="">
      <xdr:nvGraphicFramePr>
        <xdr:cNvPr id="2" name="Chart 1">
          <a:extLst>
            <a:ext uri="{FF2B5EF4-FFF2-40B4-BE49-F238E27FC236}">
              <a16:creationId xmlns:a16="http://schemas.microsoft.com/office/drawing/2014/main" id="{B08DEEC9-86F3-5A50-8627-784225D1C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117475</xdr:colOff>
      <xdr:row>2</xdr:row>
      <xdr:rowOff>127000</xdr:rowOff>
    </xdr:from>
    <xdr:to>
      <xdr:col>11</xdr:col>
      <xdr:colOff>422275</xdr:colOff>
      <xdr:row>17</xdr:row>
      <xdr:rowOff>107950</xdr:rowOff>
    </xdr:to>
    <xdr:graphicFrame macro="">
      <xdr:nvGraphicFramePr>
        <xdr:cNvPr id="2" name="Chart 1">
          <a:extLst>
            <a:ext uri="{FF2B5EF4-FFF2-40B4-BE49-F238E27FC236}">
              <a16:creationId xmlns:a16="http://schemas.microsoft.com/office/drawing/2014/main" id="{1D225922-07AA-4B34-4504-80697C2D4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400050</xdr:colOff>
      <xdr:row>0</xdr:row>
      <xdr:rowOff>95250</xdr:rowOff>
    </xdr:from>
    <xdr:to>
      <xdr:col>11</xdr:col>
      <xdr:colOff>95250</xdr:colOff>
      <xdr:row>15</xdr:row>
      <xdr:rowOff>76200</xdr:rowOff>
    </xdr:to>
    <xdr:graphicFrame macro="">
      <xdr:nvGraphicFramePr>
        <xdr:cNvPr id="2" name="Chart 1">
          <a:extLst>
            <a:ext uri="{FF2B5EF4-FFF2-40B4-BE49-F238E27FC236}">
              <a16:creationId xmlns:a16="http://schemas.microsoft.com/office/drawing/2014/main" id="{E5369ED2-8856-77F5-F6A3-ED3CC0B19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558800</xdr:colOff>
      <xdr:row>1</xdr:row>
      <xdr:rowOff>88900</xdr:rowOff>
    </xdr:from>
    <xdr:to>
      <xdr:col>11</xdr:col>
      <xdr:colOff>254000</xdr:colOff>
      <xdr:row>16</xdr:row>
      <xdr:rowOff>69850</xdr:rowOff>
    </xdr:to>
    <xdr:graphicFrame macro="">
      <xdr:nvGraphicFramePr>
        <xdr:cNvPr id="2" name="Chart 1">
          <a:extLst>
            <a:ext uri="{FF2B5EF4-FFF2-40B4-BE49-F238E27FC236}">
              <a16:creationId xmlns:a16="http://schemas.microsoft.com/office/drawing/2014/main" id="{96C594AF-1F20-8EB1-1810-F5627A411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428625</xdr:colOff>
      <xdr:row>2</xdr:row>
      <xdr:rowOff>127000</xdr:rowOff>
    </xdr:from>
    <xdr:to>
      <xdr:col>12</xdr:col>
      <xdr:colOff>123825</xdr:colOff>
      <xdr:row>17</xdr:row>
      <xdr:rowOff>107950</xdr:rowOff>
    </xdr:to>
    <xdr:graphicFrame macro="">
      <xdr:nvGraphicFramePr>
        <xdr:cNvPr id="3" name="Chart 2">
          <a:extLst>
            <a:ext uri="{FF2B5EF4-FFF2-40B4-BE49-F238E27FC236}">
              <a16:creationId xmlns:a16="http://schemas.microsoft.com/office/drawing/2014/main" id="{F200C3C5-1E43-F1E9-1414-C8EFD6950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2.526768981479" createdVersion="8" refreshedVersion="8" minRefreshableVersion="3" recordCount="50" xr:uid="{A13F99AB-FE1F-4C39-97F6-08B78E646BE7}">
  <cacheSource type="worksheet">
    <worksheetSource name="Table8"/>
  </cacheSource>
  <cacheFields count="10">
    <cacheField name="Sale_ID" numFmtId="0">
      <sharedItems count="5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haredItems>
    </cacheField>
    <cacheField name="Date" numFmtId="164">
      <sharedItems containsSemiMixedTypes="0" containsNonDate="0" containsDate="1" containsString="0" minDate="2026-01-01T00:00:00" maxDate="2026-06-18T00:00:00"/>
    </cacheField>
    <cacheField name="Customer_ID" numFmtId="0">
      <sharedItems/>
    </cacheField>
    <cacheField name="Product_ID" numFmtId="0">
      <sharedItems count="34">
        <s v="P028"/>
        <s v="P032"/>
        <s v="P027"/>
        <s v="P020"/>
        <s v="P024"/>
        <s v="P012"/>
        <s v="P050"/>
        <s v="P035"/>
        <s v="P033"/>
        <s v="P043"/>
        <s v="P037"/>
        <s v="P003"/>
        <s v="P001"/>
        <s v="P040"/>
        <s v="P010"/>
        <s v="P044"/>
        <s v="P029"/>
        <s v="P013"/>
        <s v="P031"/>
        <s v="P046"/>
        <s v="P002"/>
        <s v="P023"/>
        <s v="P017"/>
        <s v="P026"/>
        <s v="P008"/>
        <s v="P034"/>
        <s v="P041"/>
        <s v="P007"/>
        <s v="P004"/>
        <s v="P045"/>
        <s v="P011"/>
        <s v="P036"/>
        <s v="P025"/>
        <s v="P021"/>
      </sharedItems>
    </cacheField>
    <cacheField name="Salesperson_ID" numFmtId="0">
      <sharedItems count="28">
        <s v="SP009"/>
        <s v="SP024"/>
        <s v="SP035"/>
        <s v="SP049"/>
        <s v="SP048"/>
        <s v="SP036"/>
        <s v="SP018"/>
        <s v="SP039"/>
        <s v="SP032"/>
        <s v="SP023"/>
        <s v="SP037"/>
        <s v="SP012"/>
        <s v="SP013"/>
        <s v="SP025"/>
        <s v="SP041"/>
        <s v="SP030"/>
        <s v="SP017"/>
        <s v="SP020"/>
        <s v="SP022"/>
        <s v="SP019"/>
        <s v="SP007"/>
        <s v="SP028"/>
        <s v="SP014"/>
        <s v="SP031"/>
        <s v="SP047"/>
        <s v="SP016"/>
        <s v="SP005"/>
        <s v="SP021"/>
      </sharedItems>
    </cacheField>
    <cacheField name="Deal_Status" numFmtId="0">
      <sharedItems count="3">
        <s v="Lost"/>
        <s v="Won"/>
        <s v="Pending"/>
      </sharedItems>
    </cacheField>
    <cacheField name="Quantity" numFmtId="0">
      <sharedItems containsSemiMixedTypes="0" containsString="0" containsNumber="1" containsInteger="1" minValue="1" maxValue="20"/>
    </cacheField>
    <cacheField name="Discount" numFmtId="0">
      <sharedItems containsSemiMixedTypes="0" containsString="0" containsNumber="1" containsInteger="1" minValue="0" maxValue="20"/>
    </cacheField>
    <cacheField name="Revenue" numFmtId="165">
      <sharedItems containsSemiMixedTypes="0" containsString="0" containsNumber="1" minValue="0" maxValue="538498"/>
    </cacheField>
    <cacheField name="Lost_Reason"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37671527776" backgroundQuery="1" createdVersion="8" refreshedVersion="8" minRefreshableVersion="3" recordCount="0" supportSubquery="1" supportAdvancedDrill="1" xr:uid="{51D0C9A1-4346-482F-BFD4-EBEC6E054463}">
  <cacheSource type="external" connectionId="1"/>
  <cacheFields count="4">
    <cacheField name="[Measures].[Sum of Revenue]" caption="Sum of Revenue" numFmtId="0" hierarchy="43" level="32767"/>
    <cacheField name="[Table8].[Region].[Region]" caption="Region" numFmtId="0" hierarchy="30" level="1">
      <sharedItems count="5">
        <s v="Central"/>
        <s v="East"/>
        <s v="North"/>
        <s v="South"/>
        <s v="West"/>
      </sharedItems>
    </cacheField>
    <cacheField name="[Table8].[Deal_Status].[Deal_Status]" caption="Deal_Status" numFmtId="0" hierarchy="25" level="1">
      <sharedItems containsSemiMixedTypes="0" containsNonDate="0" containsString="0"/>
    </cacheField>
    <cacheField name="[Range].[Region].[Region]" caption="Region" numFmtId="0" level="1">
      <sharedItems containsSemiMixedTypes="0" containsNonDate="0" containsString="0"/>
    </cacheField>
  </cacheFields>
  <cacheHierarchies count="45">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2" memberValueDatatype="130" unbalanced="0">
      <fieldsUsage count="2">
        <fieldUsage x="-1"/>
        <fieldUsage x="2"/>
      </fieldsUsage>
    </cacheHierarchy>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2" memberValueDatatype="130" unbalanced="0">
      <fieldsUsage count="2">
        <fieldUsage x="-1"/>
        <fieldUsage x="1"/>
      </fieldsUsage>
    </cacheHierarchy>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37669675928" backgroundQuery="1" createdVersion="8" refreshedVersion="8" minRefreshableVersion="3" recordCount="0" supportSubquery="1" supportAdvancedDrill="1" xr:uid="{04B50F05-272A-4201-B87E-033D80417347}">
  <cacheSource type="external" connectionId="1"/>
  <cacheFields count="2">
    <cacheField name="[Measures].[Sum of Revenue]" caption="Sum of Revenue" numFmtId="0" hierarchy="43" level="32767"/>
    <cacheField name="[Table4].[Salesperson_Name].[Salesperson_Name]" caption="Salesperson_Name" numFmtId="0" hierarchy="16" level="1">
      <sharedItems count="28">
        <s v="Salesperson 12"/>
        <s v="Salesperson 13"/>
        <s v="Salesperson 14"/>
        <s v="Salesperson 16"/>
        <s v="Salesperson 17"/>
        <s v="Salesperson 18"/>
        <s v="Salesperson 19"/>
        <s v="Salesperson 20"/>
        <s v="Salesperson 21"/>
        <s v="Salesperson 22"/>
        <s v="Salesperson 23"/>
        <s v="Salesperson 24"/>
        <s v="Salesperson 25"/>
        <s v="Salesperson 28"/>
        <s v="Salesperson 30"/>
        <s v="Salesperson 31"/>
        <s v="Salesperson 32"/>
        <s v="Salesperson 35"/>
        <s v="Salesperson 36"/>
        <s v="Salesperson 37"/>
        <s v="Salesperson 39"/>
        <s v="Salesperson 41"/>
        <s v="Salesperson 47"/>
        <s v="Salesperson 48"/>
        <s v="Salesperson 49"/>
        <s v="Salesperson 5"/>
        <s v="Salesperson 7"/>
        <s v="Salesperson 9"/>
      </sharedItems>
    </cacheField>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2" memberValueDatatype="130" unbalanced="0">
      <fieldsUsage count="2">
        <fieldUsage x="-1"/>
        <fieldUsage x="1"/>
      </fieldsUsage>
    </cacheHierarchy>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37668749997" backgroundQuery="1" createdVersion="8" refreshedVersion="8" minRefreshableVersion="3" recordCount="0" supportSubquery="1" supportAdvancedDrill="1" xr:uid="{F8357E7C-5DE2-4A2E-995E-A07460657452}">
  <cacheSource type="external" connectionId="1"/>
  <cacheFields count="2">
    <cacheField name="[Table2].[Customer_Segment].[Customer_Segment]" caption="Customer_Segment" numFmtId="0" hierarchy="8" level="1">
      <sharedItems count="5">
        <s v="Enterprise"/>
        <s v="Mid-    Market"/>
        <s v="Mid-Market"/>
        <s v="SME"/>
        <s v="Startup"/>
      </sharedItems>
    </cacheField>
    <cacheField name="[Measures].[Sum of Revenue]" caption="Sum of Revenue" numFmtId="0" hierarchy="43" level="32767"/>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37667824073" backgroundQuery="1" createdVersion="8" refreshedVersion="8" minRefreshableVersion="3" recordCount="0" supportSubquery="1" supportAdvancedDrill="1" xr:uid="{B3CAFC9E-C688-4D8D-8DE1-C5E7E4887ACF}">
  <cacheSource type="external" connectionId="1"/>
  <cacheFields count="3">
    <cacheField name="[Measures].[Sum of Revenue]" caption="Sum of Revenue" numFmtId="0" hierarchy="43" level="32767"/>
    <cacheField name="[Table8].[Date].[Date]" caption="Date" numFmtId="0" hierarchy="21" level="1">
      <sharedItems containsSemiMixedTypes="0" containsNonDate="0" containsDate="1" containsString="0" minDate="2026-01-01T00:00:00" maxDate="2026-06-18T00:00:00" count="48">
        <d v="2026-01-01T00:00:00"/>
        <d v="2026-01-05T00:00:00"/>
        <d v="2026-01-06T00:00:00"/>
        <d v="2026-01-08T00:00:00"/>
        <d v="2026-01-13T00:00:00"/>
        <d v="2026-01-15T00:00:00"/>
        <d v="2026-01-19T00:00:00"/>
        <d v="2026-01-23T00:00:00"/>
        <d v="2026-02-03T00:00:00"/>
        <d v="2026-02-16T00:00:00"/>
        <d v="2026-02-17T00:00:00"/>
        <d v="2026-02-21T00:00:00"/>
        <d v="2026-02-22T00:00:00"/>
        <d v="2026-02-23T00:00:00"/>
        <d v="2026-02-24T00:00:00"/>
        <d v="2026-02-27T00:00:00"/>
        <d v="2026-03-01T00:00:00"/>
        <d v="2026-03-03T00:00:00"/>
        <d v="2026-03-04T00:00:00"/>
        <d v="2026-03-11T00:00:00"/>
        <d v="2026-03-30T00:00:00"/>
        <d v="2026-03-31T00:00:00"/>
        <d v="2026-04-02T00:00:00"/>
        <d v="2026-04-04T00:00:00"/>
        <d v="2026-04-06T00:00:00"/>
        <d v="2026-04-09T00:00:00"/>
        <d v="2026-04-11T00:00:00"/>
        <d v="2026-04-13T00:00:00"/>
        <d v="2026-04-16T00:00:00"/>
        <d v="2026-04-18T00:00:00"/>
        <d v="2026-04-19T00:00:00"/>
        <d v="2026-04-24T00:00:00"/>
        <d v="2026-04-26T00:00:00"/>
        <d v="2026-04-27T00:00:00"/>
        <d v="2026-04-28T00:00:00"/>
        <d v="2026-04-30T00:00:00"/>
        <d v="2026-05-02T00:00:00"/>
        <d v="2026-05-04T00:00:00"/>
        <d v="2026-05-06T00:00:00"/>
        <d v="2026-05-07T00:00:00"/>
        <d v="2026-05-09T00:00:00"/>
        <d v="2026-05-17T00:00:00"/>
        <d v="2026-05-20T00:00:00"/>
        <d v="2026-05-24T00:00:00"/>
        <d v="2026-05-25T00:00:00"/>
        <d v="2026-05-27T00:00:00"/>
        <d v="2026-06-07T00:00:00"/>
        <d v="2026-06-17T00:00:00"/>
      </sharedItems>
    </cacheField>
    <cacheField name="[Table8].[Date (Month)].[Date (Month)]" caption="Date (Month)" numFmtId="0" hierarchy="31" level="1">
      <sharedItems count="6">
        <s v="Jan"/>
        <s v="Feb"/>
        <s v="Mar"/>
        <s v="Apr"/>
        <s v="May"/>
        <s v="Jun"/>
      </sharedItems>
    </cacheField>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2" memberValueDatatype="7" unbalanced="0">
      <fieldsUsage count="2">
        <fieldUsage x="-1"/>
        <fieldUsage x="1"/>
      </fieldsUsage>
    </cacheHierarchy>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2" memberValueDatatype="130" unbalanced="0">
      <fieldsUsage count="2">
        <fieldUsage x="-1"/>
        <fieldUsage x="2"/>
      </fieldsUsage>
    </cacheHierarchy>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87034143516" backgroundQuery="1" createdVersion="8" refreshedVersion="8" minRefreshableVersion="3" recordCount="0" supportSubquery="1" supportAdvancedDrill="1" xr:uid="{B6730832-A1AC-4BE0-B42D-D0E1398E7595}">
  <cacheSource type="external" connectionId="1"/>
  <cacheFields count="2">
    <cacheField name="[Table8].[Date (Month)].[Date (Month)]" caption="Date (Month)" numFmtId="0" hierarchy="31" level="1">
      <sharedItems count="6">
        <s v="Jan"/>
        <s v="Feb"/>
        <s v="Mar"/>
        <s v="Apr"/>
        <s v="May"/>
        <s v="Jun"/>
      </sharedItems>
    </cacheField>
    <cacheField name="[Measures].[Sum of Revenue]" caption="Sum of Revenue" numFmtId="0" hierarchy="43" level="32767"/>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2" memberValueDatatype="130" unbalanced="0">
      <fieldsUsage count="2">
        <fieldUsage x="-1"/>
        <fieldUsage x="0"/>
      </fieldsUsage>
    </cacheHierarchy>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93828587962" backgroundQuery="1" createdVersion="8" refreshedVersion="8" minRefreshableVersion="3" recordCount="0" supportSubquery="1" supportAdvancedDrill="1" xr:uid="{27DCADBF-C844-46C5-A284-FA1ABFB59FC5}">
  <cacheSource type="external" connectionId="1"/>
  <cacheFields count="2">
    <cacheField name="[Measures].[Sum of Revenue]" caption="Sum of Revenue" numFmtId="0" hierarchy="43" level="32767"/>
    <cacheField name="[Table3].[Product_Name].[Product_Name]" caption="Product_Name" numFmtId="0" hierarchy="12" level="1">
      <sharedItems count="34">
        <s v="Software Product 1"/>
        <s v="Software Product 10"/>
        <s v="Software Product 11"/>
        <s v="Software Product 12"/>
        <s v="Software Product 13"/>
        <s v="Software Product 17"/>
        <s v="Software Product 2"/>
        <s v="Software Product 20"/>
        <s v="Software Product 21"/>
        <s v="Software Product 23"/>
        <s v="Software Product 24"/>
        <s v="Software Product 25"/>
        <s v="Software Product 26"/>
        <s v="Software Product 27"/>
        <s v="Software Product 28"/>
        <s v="Software Product 29"/>
        <s v="Software Product 3"/>
        <s v="Software Product 31"/>
        <s v="Software Product 32"/>
        <s v="Software Product 33"/>
        <s v="Software Product 34"/>
        <s v="Software Product 35"/>
        <s v="Software Product 36"/>
        <s v="Software Product 37"/>
        <s v="Software Product 4"/>
        <s v="Software Product 40"/>
        <s v="Software Product 41"/>
        <s v="Software Product 43"/>
        <s v="Software Product 44"/>
        <s v="Software Product 45"/>
        <s v="Software Product 46"/>
        <s v="Software Product 50"/>
        <s v="Software Product 7"/>
        <s v="Software Product 8"/>
      </sharedItems>
    </cacheField>
  </cacheFields>
  <cacheHierarchies count="45">
    <cacheHierarchy uniqueName="[Range].[Region]" caption="Region" attribute="1" defaultMemberUniqueName="[Range].[Region].[All]" allUniqueName="[Range].[Region].[All]" dimensionUniqueName="[Range]" displayFolder="" count="2"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fieldsUsage count="2">
        <fieldUsage x="-1"/>
        <fieldUsage x="1"/>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588490393522" backgroundQuery="1" createdVersion="8" refreshedVersion="8" minRefreshableVersion="3" recordCount="0" supportSubquery="1" supportAdvancedDrill="1" xr:uid="{C4D52EB5-B62E-4EE5-9BBC-097CA95C54CE}">
  <cacheSource type="external" connectionId="1"/>
  <cacheFields count="2">
    <cacheField name="[Table3].[Product_Name].[Product_Name]" caption="Product_Name" numFmtId="0" hierarchy="12" level="1">
      <sharedItems count="5">
        <s v="Software Product 10"/>
        <s v="Software Product 26"/>
        <s v="Software Product 29"/>
        <s v="Software Product 37"/>
        <s v="Software Product 7"/>
      </sharedItems>
    </cacheField>
    <cacheField name="[Measures].[Sum of Revenue]" caption="Sum of Revenue" numFmtId="0" hierarchy="43" level="32767"/>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2" memberValueDatatype="130" unbalanced="0">
      <fieldsUsage count="2">
        <fieldUsage x="-1"/>
        <fieldUsage x="0"/>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602771990743" backgroundQuery="1" createdVersion="8" refreshedVersion="8" minRefreshableVersion="3" recordCount="0" supportSubquery="1" supportAdvancedDrill="1" xr:uid="{F7495BB5-B096-4483-8CFA-59D4638E56A7}">
  <cacheSource type="external" connectionId="1"/>
  <cacheFields count="2">
    <cacheField name="[Table4].[Salesperson_Name].[Salesperson_Name]" caption="Salesperson_Name" numFmtId="0" hierarchy="16" level="1">
      <sharedItems count="5">
        <s v="Salesperson 13"/>
        <s v="Salesperson 19"/>
        <s v="Salesperson 24"/>
        <s v="Salesperson 35"/>
        <s v="Salesperson 49"/>
      </sharedItems>
    </cacheField>
    <cacheField name="[Measures].[Sum of Revenue]" caption="Sum of Revenue" numFmtId="0" hierarchy="43" level="32767"/>
  </cacheFields>
  <cacheHierarchies count="45">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2" memberValueDatatype="130" unbalanced="0">
      <fieldsUsage count="2">
        <fieldUsage x="-1"/>
        <fieldUsage x="0"/>
      </fieldsUsage>
    </cacheHierarchy>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2"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4.500313888886" backgroundQuery="1" createdVersion="8" refreshedVersion="8" minRefreshableVersion="3" recordCount="0" supportSubquery="1" supportAdvancedDrill="1" xr:uid="{2BBF6591-42AB-4ACE-9E4B-3DB25D105BE9}">
  <cacheSource type="external" connectionId="1"/>
  <cacheFields count="2">
    <cacheField name="[Measures].[Sum of Revenue]" caption="Sum of Revenue" numFmtId="0" hierarchy="43" level="32767"/>
    <cacheField name="[Table8].[Region].[Region]" caption="Region" numFmtId="0" hierarchy="30" level="1">
      <sharedItems count="5">
        <s v="Central"/>
        <s v="East"/>
        <s v="North"/>
        <s v="South"/>
        <s v="West"/>
      </sharedItems>
    </cacheField>
  </cacheFields>
  <cacheHierarchies count="45">
    <cacheHierarchy uniqueName="[Range].[Region]" caption="Region" attribute="1" defaultMemberUniqueName="[Range].[Region].[All]" allUniqueName="[Range].[Region].[All]" dimensionUniqueName="[Range]" displayFolder="" count="2"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2" memberValueDatatype="130" unbalanced="0">
      <fieldsUsage count="2">
        <fieldUsage x="-1"/>
        <fieldUsage x="1"/>
      </fieldsUsage>
    </cacheHierarchy>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Range 4" count="0" hidden="1">
      <extLst>
        <ext xmlns:x15="http://schemas.microsoft.com/office/spreadsheetml/2010/11/main" uri="{B97F6D7D-B522-45F9-BDA1-12C45D357490}">
          <x15:cacheHierarchy aggregatedColumn="4"/>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03.437670370367" backgroundQuery="1" createdVersion="3" refreshedVersion="8" minRefreshableVersion="3" recordCount="0" supportSubquery="1" supportAdvancedDrill="1" xr:uid="{B8035FC8-CF79-4657-9931-56AA909DC6DA}">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Range].[Region]" caption="Region" attribute="1" defaultMemberUniqueName="[Range].[Region].[All]" allUniqueName="[Range].[Region].[All]" dimensionUniqueName="[Range]" displayFolder="" count="0" memberValueDatatype="130" unbalanced="0"/>
    <cacheHierarchy uniqueName="[Range 1].[Salespeoples]" caption="Salespeoples" attribute="1" defaultMemberUniqueName="[Range 1].[Salespeoples].[All]" allUniqueName="[Range 1].[Salespeoples].[All]" dimensionUniqueName="[Range 1]" displayFolder="" count="0" memberValueDatatype="130" unbalanced="0"/>
    <cacheHierarchy uniqueName="[Range 2].[Date]" caption="Date" attribute="1" time="1" defaultMemberUniqueName="[Range 2].[Date].[All]" allUniqueName="[Range 2].[Date].[All]" dimensionUniqueName="[Range 2]" displayFolder="" count="0" memberValueDatatype="7" unbalanced="0"/>
    <cacheHierarchy uniqueName="[Range 3].[Salespeople_Name]" caption="Salespeople_Name" attribute="1" defaultMemberUniqueName="[Range 3].[Salespeople_Name].[All]" allUniqueName="[Range 3].[Salespeople_Name].[All]" dimensionUniqueName="[Range 3]" displayFolder="" count="0" memberValueDatatype="130" unbalanced="0"/>
    <cacheHierarchy uniqueName="[Range 4].[Revenue]" caption="Revenue" attribute="1" defaultMemberUniqueName="[Range 4].[Revenue].[All]" allUniqueName="[Range 4].[Revenue].[All]" dimensionUniqueName="[Range 4]" displayFolder="" count="0" memberValueDatatype="5" unbalanced="0"/>
    <cacheHierarchy uniqueName="[Table2].[Customer_ID]" caption="Customer_ID" attribute="1" defaultMemberUniqueName="[Table2].[Customer_ID].[All]" allUniqueName="[Table2].[Customer_ID].[All]" dimensionUniqueName="[Table2]" displayFolder="" count="0" memberValueDatatype="130" unbalanced="0"/>
    <cacheHierarchy uniqueName="[Table2].[Customer_Name]" caption="Customer_Name" attribute="1" defaultMemberUniqueName="[Table2].[Customer_Name].[All]" allUniqueName="[Table2].[Customer_Name].[All]" dimensionUniqueName="[Table2]" displayFolder="" count="0" memberValueDatatype="130" unbalanced="0"/>
    <cacheHierarchy uniqueName="[Table2].[Industry]" caption="Industry" attribute="1" defaultMemberUniqueName="[Table2].[Industry].[All]" allUniqueName="[Table2].[Industry].[All]" dimensionUniqueName="[Table2]" displayFolder="" count="0" memberValueDatatype="130" unbalanced="0"/>
    <cacheHierarchy uniqueName="[Table2].[Customer_Segment]" caption="Customer_Segment" attribute="1" defaultMemberUniqueName="[Table2].[Customer_Segment].[All]" allUniqueName="[Table2].[Customer_Segment].[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Price]" caption="Price" attribute="1" defaultMemberUniqueName="[Table3].[Price].[All]" allUniqueName="[Table3].[Price].[All]" dimensionUniqueName="[Table3]" displayFolder="" count="0" memberValueDatatype="20" unbalanced="0"/>
    <cacheHierarchy uniqueName="[Table4].[Salesperson_ID]" caption="Salesperson_ID" attribute="1" defaultMemberUniqueName="[Table4].[Salesperson_ID].[All]" allUniqueName="[Table4].[Salesperson_ID].[All]" dimensionUniqueName="[Table4]" displayFolder="" count="0" memberValueDatatype="130" unbalanced="0"/>
    <cacheHierarchy uniqueName="[Table4].[Salesperson_Name]" caption="Salesperson_Name" attribute="1" defaultMemberUniqueName="[Table4].[Salesperson_Name].[All]" allUniqueName="[Table4].[Salesperson_Name].[All]" dimensionUniqueName="[Table4]" displayFolder="" count="0" memberValueDatatype="130" unbalanced="0"/>
    <cacheHierarchy uniqueName="[Table4].[Team]" caption="Team" attribute="1" defaultMemberUniqueName="[Table4].[Team].[All]" allUniqueName="[Table4].[Team].[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8].[Sale_ID]" caption="Sale_ID" attribute="1" defaultMemberUniqueName="[Table8].[Sale_ID].[All]" allUniqueName="[Table8].[Sale_ID].[All]" dimensionUniqueName="[Table8]" displayFolder="" count="0" memberValueDatatype="130" unbalanced="0"/>
    <cacheHierarchy uniqueName="[Table8].[Date]" caption="Date" attribute="1" time="1" defaultMemberUniqueName="[Table8].[Date].[All]" allUniqueName="[Table8].[Date].[All]" dimensionUniqueName="[Table8]" displayFolder="" count="0" memberValueDatatype="7" unbalanced="0"/>
    <cacheHierarchy uniqueName="[Table8].[Customer_ID]" caption="Customer_ID" attribute="1" defaultMemberUniqueName="[Table8].[Customer_ID].[All]" allUniqueName="[Table8].[Customer_ID].[All]" dimensionUniqueName="[Table8]" displayFolder="" count="0" memberValueDatatype="130" unbalanced="0"/>
    <cacheHierarchy uniqueName="[Table8].[Product_ID]" caption="Product_ID" attribute="1" defaultMemberUniqueName="[Table8].[Product_ID].[All]" allUniqueName="[Table8].[Product_ID].[All]" dimensionUniqueName="[Table8]" displayFolder="" count="0" memberValueDatatype="130" unbalanced="0"/>
    <cacheHierarchy uniqueName="[Table8].[Salesperson_ID]" caption="Salesperson_ID" attribute="1" defaultMemberUniqueName="[Table8].[Salesperson_ID].[All]" allUniqueName="[Table8].[Salesperson_ID].[All]" dimensionUniqueName="[Table8]" displayFolder="" count="0" memberValueDatatype="130" unbalanced="0"/>
    <cacheHierarchy uniqueName="[Table8].[Deal_Status]" caption="Deal_Status" attribute="1" defaultMemberUniqueName="[Table8].[Deal_Status].[All]" allUniqueName="[Table8].[Deal_Status].[All]" dimensionUniqueName="[Table8]" displayFolder="" count="0" memberValueDatatype="130" unbalanced="0"/>
    <cacheHierarchy uniqueName="[Table8].[Quantity]" caption="Quantity" attribute="1" defaultMemberUniqueName="[Table8].[Quantity].[All]" allUniqueName="[Table8].[Quantity].[All]" dimensionUniqueName="[Table8]" displayFolder="" count="0" memberValueDatatype="20" unbalanced="0"/>
    <cacheHierarchy uniqueName="[Table8].[Discount]" caption="Discount" attribute="1" defaultMemberUniqueName="[Table8].[Discount].[All]" allUniqueName="[Table8].[Discount].[All]" dimensionUniqueName="[Table8]" displayFolder="" count="0" memberValueDatatype="20" unbalanced="0"/>
    <cacheHierarchy uniqueName="[Table8].[Revenue]" caption="Revenue" attribute="1" defaultMemberUniqueName="[Table8].[Revenue].[All]" allUniqueName="[Table8].[Revenue].[All]" dimensionUniqueName="[Table8]" displayFolder="" count="0" memberValueDatatype="5" unbalanced="0"/>
    <cacheHierarchy uniqueName="[Table8].[Lost_Reason]" caption="Lost_Reason" attribute="1" defaultMemberUniqueName="[Table8].[Lost_Reason].[All]" allUniqueName="[Table8].[Lost_Reason].[All]" dimensionUniqueName="[Table8]" displayFolder="" count="0" memberValueDatatype="130" unbalanced="0"/>
    <cacheHierarchy uniqueName="[Table8].[Region]" caption="Region" attribute="1" defaultMemberUniqueName="[Table8].[Region].[All]" allUniqueName="[Table8].[Region].[All]" dimensionUniqueName="[Table8]" displayFolder="" count="0" memberValueDatatype="130" unbalanced="0"/>
    <cacheHierarchy uniqueName="[Table8].[Date (Month)]" caption="Date (Month)" attribute="1" defaultMemberUniqueName="[Table8].[Date (Month)].[All]" allUniqueName="[Table8].[Date (Month)].[All]" dimensionUniqueName="[Table8]" displayFolder="" count="0" memberValueDatatype="130" unbalanced="0"/>
    <cacheHierarchy uniqueName="[Table8].[Date (Month Index)]" caption="Date (Month Index)" attribute="1" defaultMemberUniqueName="[Table8].[Date (Month Index)].[All]" allUniqueName="[Table8].[Date (Month Index)].[All]" dimensionUniqueName="[Table8]" displayFolder="" count="0" memberValueDatatype="20" unbalanced="0" hidden="1"/>
    <cacheHierarchy uniqueName="[Measures].[__XL_Count Range]" caption="__XL_Count Range" measure="1" displayFolder="" measureGroup="Range" count="0" hidden="1"/>
    <cacheHierarchy uniqueName="[Measures].[__XL_Count Table8]" caption="__XL_Count Table8" measure="1" displayFolder="" measureGroup="Table8" count="0" hidden="1"/>
    <cacheHierarchy uniqueName="[Measures].[__XL_Count Range 1]" caption="__XL_Count Range 1" measure="1" displayFolder="" measureGroup="Range 1"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Range 2]" caption="__XL_Count Range 2" measure="1" displayFolder="" measureGroup="Range 2" count="0" hidden="1"/>
    <cacheHierarchy uniqueName="[Measures].[__XL_Count Table3]" caption="__XL_Count Table3" measure="1" displayFolder="" measureGroup="Table3"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Revenue]" caption="Sum of Revenue" measure="1" displayFolder="" measureGroup="Table8" count="0" hidden="1">
      <extLst>
        <ext xmlns:x15="http://schemas.microsoft.com/office/spreadsheetml/2010/11/main" uri="{B97F6D7D-B522-45F9-BDA1-12C45D357490}">
          <x15:cacheHierarchy aggregatedColumn="28"/>
        </ext>
      </extLst>
    </cacheHierarchy>
  </cacheHierarchies>
  <kpis count="0"/>
  <dimensions count="10">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Table2" uniqueName="[Table2]" caption="Table2"/>
    <dimension name="Table3" uniqueName="[Table3]" caption="Table3"/>
    <dimension name="Table4" uniqueName="[Table4]" caption="Table4"/>
    <dimension name="Table8" uniqueName="[Table8]" caption="Table8"/>
  </dimensions>
  <measureGroups count="9">
    <measureGroup name="Range" caption="Range"/>
    <measureGroup name="Range 1" caption="Range 1"/>
    <measureGroup name="Range 2" caption="Range 2"/>
    <measureGroup name="Range 3" caption="Range 3"/>
    <measureGroup name="Range 4" caption="Range 4"/>
    <measureGroup name="Table2" caption="Table2"/>
    <measureGroup name="Table3" caption="Table3"/>
    <measureGroup name="Table4" caption="Table4"/>
    <measureGroup name="Table8" caption="Table8"/>
  </measureGroups>
  <maps count="12">
    <map measureGroup="0" dimension="1"/>
    <map measureGroup="1" dimension="2"/>
    <map measureGroup="2" dimension="3"/>
    <map measureGroup="3" dimension="4"/>
    <map measureGroup="4" dimension="5"/>
    <map measureGroup="5" dimension="6"/>
    <map measureGroup="6" dimension="7"/>
    <map measureGroup="7" dimension="8"/>
    <map measureGroup="8" dimension="6"/>
    <map measureGroup="8" dimension="7"/>
    <map measureGroup="8" dimension="8"/>
    <map measureGroup="8" dimension="9"/>
  </maps>
  <extLst>
    <ext xmlns:x14="http://schemas.microsoft.com/office/spreadsheetml/2009/9/main" uri="{725AE2AE-9491-48be-B2B4-4EB974FC3084}">
      <x14:pivotCacheDefinition slicerData="1" pivotCacheId="16236217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d v="2026-03-11T00:00:00"/>
    <s v="C001"/>
    <x v="0"/>
    <x v="0"/>
    <x v="0"/>
    <n v="6"/>
    <n v="5"/>
    <n v="0"/>
    <s v="No Budget"/>
  </r>
  <r>
    <x v="1"/>
    <d v="2026-01-15T00:00:00"/>
    <s v="C016"/>
    <x v="1"/>
    <x v="1"/>
    <x v="0"/>
    <n v="12"/>
    <n v="5"/>
    <n v="0"/>
    <s v="No Budget"/>
  </r>
  <r>
    <x v="2"/>
    <d v="2026-02-23T00:00:00"/>
    <s v="C039"/>
    <x v="2"/>
    <x v="2"/>
    <x v="0"/>
    <n v="13"/>
    <n v="10"/>
    <n v="0"/>
    <s v="Competitor"/>
  </r>
  <r>
    <x v="3"/>
    <d v="2026-04-11T00:00:00"/>
    <s v="C005"/>
    <x v="3"/>
    <x v="3"/>
    <x v="1"/>
    <n v="13"/>
    <n v="20"/>
    <n v="286499.20000000001"/>
    <m/>
  </r>
  <r>
    <x v="4"/>
    <d v="2026-01-08T00:00:00"/>
    <s v="C022"/>
    <x v="4"/>
    <x v="2"/>
    <x v="1"/>
    <n v="15"/>
    <n v="20"/>
    <n v="203388"/>
    <m/>
  </r>
  <r>
    <x v="5"/>
    <d v="2026-02-22T00:00:00"/>
    <s v="C029"/>
    <x v="5"/>
    <x v="4"/>
    <x v="1"/>
    <n v="16"/>
    <n v="0"/>
    <n v="74176"/>
    <m/>
  </r>
  <r>
    <x v="6"/>
    <d v="2026-03-01T00:00:00"/>
    <s v="C003"/>
    <x v="6"/>
    <x v="5"/>
    <x v="1"/>
    <n v="11"/>
    <n v="0"/>
    <n v="135729"/>
    <m/>
  </r>
  <r>
    <x v="7"/>
    <d v="2026-04-18T00:00:00"/>
    <s v="C012"/>
    <x v="7"/>
    <x v="6"/>
    <x v="1"/>
    <n v="5"/>
    <n v="5"/>
    <n v="112109.5"/>
    <m/>
  </r>
  <r>
    <x v="8"/>
    <d v="2026-01-05T00:00:00"/>
    <s v="C026"/>
    <x v="8"/>
    <x v="3"/>
    <x v="2"/>
    <n v="4"/>
    <n v="0"/>
    <n v="0"/>
    <m/>
  </r>
  <r>
    <x v="9"/>
    <d v="2026-04-13T00:00:00"/>
    <s v="C016"/>
    <x v="8"/>
    <x v="7"/>
    <x v="1"/>
    <n v="3"/>
    <n v="10"/>
    <n v="8645.4"/>
    <m/>
  </r>
  <r>
    <x v="10"/>
    <d v="2026-01-06T00:00:00"/>
    <s v="C037"/>
    <x v="9"/>
    <x v="8"/>
    <x v="1"/>
    <n v="19"/>
    <n v="20"/>
    <n v="48594.400000000001"/>
    <m/>
  </r>
  <r>
    <x v="11"/>
    <d v="2026-04-19T00:00:00"/>
    <s v="C022"/>
    <x v="10"/>
    <x v="1"/>
    <x v="1"/>
    <n v="20"/>
    <n v="5"/>
    <n v="538498"/>
    <m/>
  </r>
  <r>
    <x v="12"/>
    <d v="2026-04-26T00:00:00"/>
    <s v="C029"/>
    <x v="5"/>
    <x v="9"/>
    <x v="0"/>
    <n v="18"/>
    <n v="0"/>
    <n v="0"/>
    <s v="Competitor"/>
  </r>
  <r>
    <x v="13"/>
    <d v="2026-04-04T00:00:00"/>
    <s v="C014"/>
    <x v="11"/>
    <x v="8"/>
    <x v="0"/>
    <n v="15"/>
    <n v="10"/>
    <n v="0"/>
    <s v="No Budget"/>
  </r>
  <r>
    <x v="14"/>
    <d v="2026-02-16T00:00:00"/>
    <s v="C028"/>
    <x v="12"/>
    <x v="10"/>
    <x v="1"/>
    <n v="9"/>
    <n v="10"/>
    <n v="51062.400000000001"/>
    <m/>
  </r>
  <r>
    <x v="15"/>
    <d v="2026-04-09T00:00:00"/>
    <s v="C005"/>
    <x v="8"/>
    <x v="11"/>
    <x v="1"/>
    <n v="17"/>
    <n v="0"/>
    <n v="54434"/>
    <m/>
  </r>
  <r>
    <x v="16"/>
    <d v="2026-02-24T00:00:00"/>
    <s v="C047"/>
    <x v="13"/>
    <x v="3"/>
    <x v="0"/>
    <n v="14"/>
    <n v="20"/>
    <n v="0"/>
    <s v="Competitor"/>
  </r>
  <r>
    <x v="17"/>
    <d v="2026-06-17T00:00:00"/>
    <s v="C049"/>
    <x v="14"/>
    <x v="12"/>
    <x v="1"/>
    <n v="15"/>
    <n v="0"/>
    <n v="404070"/>
    <m/>
  </r>
  <r>
    <x v="18"/>
    <d v="2026-02-21T00:00:00"/>
    <s v="C030"/>
    <x v="9"/>
    <x v="9"/>
    <x v="0"/>
    <n v="1"/>
    <n v="5"/>
    <n v="0"/>
    <s v="Competitor"/>
  </r>
  <r>
    <x v="19"/>
    <d v="2026-05-24T00:00:00"/>
    <s v="C046"/>
    <x v="15"/>
    <x v="13"/>
    <x v="0"/>
    <n v="3"/>
    <n v="0"/>
    <n v="0"/>
    <s v="Competitor"/>
  </r>
  <r>
    <x v="20"/>
    <d v="2026-01-13T00:00:00"/>
    <s v="C005"/>
    <x v="16"/>
    <x v="2"/>
    <x v="1"/>
    <n v="16"/>
    <n v="10"/>
    <n v="422049.6"/>
    <m/>
  </r>
  <r>
    <x v="21"/>
    <d v="2026-04-24T00:00:00"/>
    <s v="C012"/>
    <x v="17"/>
    <x v="14"/>
    <x v="1"/>
    <n v="11"/>
    <n v="0"/>
    <n v="253880"/>
    <m/>
  </r>
  <r>
    <x v="22"/>
    <d v="2026-05-04T00:00:00"/>
    <s v="C016"/>
    <x v="5"/>
    <x v="15"/>
    <x v="2"/>
    <n v="12"/>
    <n v="20"/>
    <n v="0"/>
    <m/>
  </r>
  <r>
    <x v="23"/>
    <d v="2026-04-16T00:00:00"/>
    <s v="C026"/>
    <x v="18"/>
    <x v="16"/>
    <x v="1"/>
    <n v="10"/>
    <n v="15"/>
    <n v="67413.5"/>
    <m/>
  </r>
  <r>
    <x v="24"/>
    <d v="2026-06-07T00:00:00"/>
    <s v="C026"/>
    <x v="19"/>
    <x v="3"/>
    <x v="1"/>
    <n v="16"/>
    <n v="0"/>
    <n v="236384"/>
    <m/>
  </r>
  <r>
    <x v="25"/>
    <d v="2026-05-27T00:00:00"/>
    <s v="C048"/>
    <x v="20"/>
    <x v="17"/>
    <x v="0"/>
    <n v="8"/>
    <n v="20"/>
    <n v="0"/>
    <s v="Price Too High"/>
  </r>
  <r>
    <x v="26"/>
    <d v="2026-05-25T00:00:00"/>
    <s v="C021"/>
    <x v="6"/>
    <x v="4"/>
    <x v="2"/>
    <n v="6"/>
    <n v="20"/>
    <n v="0"/>
    <m/>
  </r>
  <r>
    <x v="27"/>
    <d v="2026-04-30T00:00:00"/>
    <s v="C039"/>
    <x v="7"/>
    <x v="13"/>
    <x v="2"/>
    <n v="12"/>
    <n v="10"/>
    <n v="0"/>
    <m/>
  </r>
  <r>
    <x v="28"/>
    <d v="2026-03-04T00:00:00"/>
    <s v="C036"/>
    <x v="21"/>
    <x v="18"/>
    <x v="0"/>
    <n v="8"/>
    <n v="20"/>
    <n v="0"/>
    <m/>
  </r>
  <r>
    <x v="29"/>
    <d v="2026-01-19T00:00:00"/>
    <s v="C033"/>
    <x v="22"/>
    <x v="12"/>
    <x v="1"/>
    <n v="4"/>
    <n v="20"/>
    <n v="56176"/>
    <m/>
  </r>
  <r>
    <x v="30"/>
    <d v="2026-04-02T00:00:00"/>
    <s v="C030"/>
    <x v="23"/>
    <x v="19"/>
    <x v="1"/>
    <n v="8"/>
    <n v="20"/>
    <n v="157158.39999999999"/>
    <m/>
  </r>
  <r>
    <x v="31"/>
    <d v="2026-02-27T00:00:00"/>
    <s v="C037"/>
    <x v="24"/>
    <x v="3"/>
    <x v="0"/>
    <n v="18"/>
    <n v="20"/>
    <n v="0"/>
    <m/>
  </r>
  <r>
    <x v="32"/>
    <d v="2026-03-31T00:00:00"/>
    <s v="C023"/>
    <x v="16"/>
    <x v="5"/>
    <x v="1"/>
    <n v="5"/>
    <n v="5"/>
    <n v="139217.75"/>
    <m/>
  </r>
  <r>
    <x v="33"/>
    <d v="2026-04-27T00:00:00"/>
    <s v="C010"/>
    <x v="23"/>
    <x v="11"/>
    <x v="1"/>
    <n v="9"/>
    <n v="5"/>
    <n v="209953.8"/>
    <m/>
  </r>
  <r>
    <x v="34"/>
    <d v="2026-03-03T00:00:00"/>
    <s v="C005"/>
    <x v="14"/>
    <x v="14"/>
    <x v="2"/>
    <n v="4"/>
    <n v="10"/>
    <n v="0"/>
    <m/>
  </r>
  <r>
    <x v="35"/>
    <d v="2026-01-23T00:00:00"/>
    <s v="C036"/>
    <x v="23"/>
    <x v="19"/>
    <x v="1"/>
    <n v="17"/>
    <n v="0"/>
    <n v="417452"/>
    <m/>
  </r>
  <r>
    <x v="36"/>
    <d v="2026-05-07T00:00:00"/>
    <s v="C034"/>
    <x v="25"/>
    <x v="11"/>
    <x v="1"/>
    <n v="9"/>
    <n v="20"/>
    <n v="104018.4"/>
    <m/>
  </r>
  <r>
    <x v="37"/>
    <d v="2026-05-17T00:00:00"/>
    <s v="C031"/>
    <x v="26"/>
    <x v="0"/>
    <x v="1"/>
    <n v="1"/>
    <n v="0"/>
    <n v="22315"/>
    <m/>
  </r>
  <r>
    <x v="38"/>
    <d v="2026-05-20T00:00:00"/>
    <s v="C010"/>
    <x v="27"/>
    <x v="20"/>
    <x v="1"/>
    <n v="20"/>
    <n v="0"/>
    <n v="413500"/>
    <m/>
  </r>
  <r>
    <x v="39"/>
    <d v="2026-05-09T00:00:00"/>
    <s v="C019"/>
    <x v="28"/>
    <x v="21"/>
    <x v="1"/>
    <n v="13"/>
    <n v="10"/>
    <n v="248472.9"/>
    <m/>
  </r>
  <r>
    <x v="40"/>
    <d v="2026-02-27T00:00:00"/>
    <s v="C032"/>
    <x v="6"/>
    <x v="22"/>
    <x v="1"/>
    <n v="16"/>
    <n v="20"/>
    <n v="157939.20000000001"/>
    <m/>
  </r>
  <r>
    <x v="41"/>
    <d v="2026-05-02T00:00:00"/>
    <s v="C001"/>
    <x v="29"/>
    <x v="23"/>
    <x v="1"/>
    <n v="13"/>
    <n v="20"/>
    <n v="51272"/>
    <m/>
  </r>
  <r>
    <x v="42"/>
    <d v="2026-01-01T00:00:00"/>
    <s v="C005"/>
    <x v="30"/>
    <x v="19"/>
    <x v="0"/>
    <n v="14"/>
    <n v="15"/>
    <n v="0"/>
    <m/>
  </r>
  <r>
    <x v="43"/>
    <d v="2026-02-03T00:00:00"/>
    <s v="C045"/>
    <x v="16"/>
    <x v="24"/>
    <x v="0"/>
    <n v="3"/>
    <n v="0"/>
    <n v="0"/>
    <m/>
  </r>
  <r>
    <x v="44"/>
    <d v="2026-04-06T00:00:00"/>
    <s v="C004"/>
    <x v="31"/>
    <x v="25"/>
    <x v="0"/>
    <n v="6"/>
    <n v="0"/>
    <n v="0"/>
    <m/>
  </r>
  <r>
    <x v="45"/>
    <d v="2026-05-06T00:00:00"/>
    <s v="C016"/>
    <x v="32"/>
    <x v="26"/>
    <x v="2"/>
    <n v="18"/>
    <n v="5"/>
    <n v="0"/>
    <m/>
  </r>
  <r>
    <x v="46"/>
    <d v="2026-04-28T00:00:00"/>
    <s v="C024"/>
    <x v="33"/>
    <x v="2"/>
    <x v="1"/>
    <n v="19"/>
    <n v="15"/>
    <n v="143008.25"/>
    <m/>
  </r>
  <r>
    <x v="47"/>
    <d v="2026-02-17T00:00:00"/>
    <s v="C016"/>
    <x v="31"/>
    <x v="11"/>
    <x v="1"/>
    <n v="5"/>
    <n v="5"/>
    <n v="74518"/>
    <m/>
  </r>
  <r>
    <x v="48"/>
    <d v="2026-03-30T00:00:00"/>
    <s v="C002"/>
    <x v="14"/>
    <x v="13"/>
    <x v="2"/>
    <n v="15"/>
    <n v="5"/>
    <n v="0"/>
    <m/>
  </r>
  <r>
    <x v="49"/>
    <d v="2026-04-27T00:00:00"/>
    <s v="C049"/>
    <x v="10"/>
    <x v="27"/>
    <x v="1"/>
    <n v="2"/>
    <n v="5"/>
    <n v="5384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43A61E-E7F6-47FC-9395-5F4F81C285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8" firstHeaderRow="1" firstDataRow="1" firstDataCol="1"/>
  <pivotFields count="10">
    <pivotField showAll="0"/>
    <pivotField numFmtId="164" showAll="0"/>
    <pivotField showAll="0"/>
    <pivotField axis="axisRow" showAll="0">
      <items count="35">
        <item x="12"/>
        <item x="20"/>
        <item x="11"/>
        <item x="28"/>
        <item x="27"/>
        <item x="24"/>
        <item x="14"/>
        <item x="30"/>
        <item x="5"/>
        <item x="17"/>
        <item x="22"/>
        <item x="3"/>
        <item x="33"/>
        <item x="21"/>
        <item x="4"/>
        <item x="32"/>
        <item x="23"/>
        <item x="2"/>
        <item x="0"/>
        <item x="16"/>
        <item x="18"/>
        <item x="1"/>
        <item x="8"/>
        <item x="25"/>
        <item x="7"/>
        <item x="31"/>
        <item x="10"/>
        <item x="13"/>
        <item x="26"/>
        <item x="9"/>
        <item x="15"/>
        <item x="29"/>
        <item x="19"/>
        <item x="6"/>
        <item t="default"/>
      </items>
    </pivotField>
    <pivotField showAll="0"/>
    <pivotField showAll="0"/>
    <pivotField showAll="0"/>
    <pivotField showAll="0"/>
    <pivotField dataField="1" numFmtId="165" showAll="0"/>
    <pivotField showAll="0"/>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5C455-3216-4D61-B198-462ADCB1114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9"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4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9D7456-1D8A-4F67-9608-E79495779F3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peoples name">
  <location ref="A3:B32" firstHeaderRow="1" firstDataRow="1" firstDataCol="1"/>
  <pivotFields count="2">
    <pivotField dataField="1" subtotalTop="0" showAll="0" defaultSubtotal="0"/>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8]"/>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24BEB-7D66-49A2-A144-2C9B78E349AF}"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0AAD2-547B-49FE-8472-365CAB4313F0}"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H6" firstHeaderRow="1" firstDataRow="3" firstDataCol="1"/>
  <pivotFields count="3">
    <pivotField dataField="1" subtotalTop="0" showAll="0" defaultSubtotal="0"/>
    <pivotField axis="axisCol"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Col" allDrilled="1" subtotalTop="0" showAll="0" dataSourceSort="1" defaultSubtotal="0">
      <items count="6">
        <item x="0" e="0"/>
        <item x="1" e="0"/>
        <item x="2" e="0"/>
        <item x="3" e="0"/>
        <item x="4" e="0"/>
        <item x="5" e="0"/>
      </items>
    </pivotField>
  </pivotFields>
  <rowItems count="1">
    <i/>
  </rowItems>
  <colFields count="2">
    <field x="2"/>
    <field x="1"/>
  </colFields>
  <colItems count="7">
    <i>
      <x/>
    </i>
    <i>
      <x v="1"/>
    </i>
    <i>
      <x v="2"/>
    </i>
    <i>
      <x v="3"/>
    </i>
    <i>
      <x v="4"/>
    </i>
    <i>
      <x v="5"/>
    </i>
    <i t="grand">
      <x/>
    </i>
  </colItems>
  <dataFields count="1">
    <dataField name="Sum of Revenue" fld="0"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2">
    <colHierarchyUsage hierarchyUsage="3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2]"/>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9E37B-5A01-4F01-A88C-C56234EEA595}" name="PivotTable3"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v="2"/>
    </i>
    <i>
      <x v="4"/>
    </i>
    <i>
      <x/>
    </i>
    <i t="grand">
      <x/>
    </i>
  </rowItems>
  <colItems count="1">
    <i/>
  </colItems>
  <dataFields count="1">
    <dataField name="Sum of Revenue" fld="1" baseField="0" baseItem="0"/>
  </dataFields>
  <formats count="2">
    <format dxfId="99">
      <pivotArea collapsedLevelsAreSubtotals="1" fieldPosition="0">
        <references count="1">
          <reference field="0" count="5">
            <x v="0"/>
            <x v="1"/>
            <x v="2"/>
            <x v="3"/>
            <x v="4"/>
          </reference>
        </references>
      </pivotArea>
    </format>
    <format dxfId="98">
      <pivotArea dataOnly="0" labelOnly="1" fieldPosition="0">
        <references count="1">
          <reference field="0" count="5">
            <x v="0"/>
            <x v="1"/>
            <x v="2"/>
            <x v="3"/>
            <x v="4"/>
          </reference>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3]"/>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C36177-C36E-41E8-B4B2-61BC8605FE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4" firstHeaderRow="1" firstDataRow="1" firstDataCol="1"/>
  <pivotFields count="10">
    <pivotField axis="axisRow"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axis="axisRow" showAll="0">
      <items count="29">
        <item x="26"/>
        <item x="20"/>
        <item x="0"/>
        <item x="11"/>
        <item x="12"/>
        <item x="22"/>
        <item x="25"/>
        <item x="16"/>
        <item x="6"/>
        <item x="19"/>
        <item x="17"/>
        <item x="27"/>
        <item x="18"/>
        <item x="9"/>
        <item x="1"/>
        <item x="13"/>
        <item x="21"/>
        <item x="15"/>
        <item x="23"/>
        <item x="8"/>
        <item x="2"/>
        <item x="5"/>
        <item x="10"/>
        <item x="7"/>
        <item x="14"/>
        <item x="24"/>
        <item x="4"/>
        <item x="3"/>
        <item t="default"/>
      </items>
    </pivotField>
    <pivotField showAll="0"/>
    <pivotField showAll="0"/>
    <pivotField showAll="0"/>
    <pivotField dataField="1" numFmtId="165" showAll="0"/>
    <pivotField showAll="0"/>
  </pivotFields>
  <rowFields count="2">
    <field x="0"/>
    <field x="4"/>
  </rowFields>
  <rowItems count="101">
    <i>
      <x v="11"/>
    </i>
    <i r="1">
      <x v="14"/>
    </i>
    <i>
      <x v="20"/>
    </i>
    <i r="1">
      <x v="20"/>
    </i>
    <i>
      <x v="35"/>
    </i>
    <i r="1">
      <x v="9"/>
    </i>
    <i>
      <x v="38"/>
    </i>
    <i r="1">
      <x v="1"/>
    </i>
    <i>
      <x v="17"/>
    </i>
    <i r="1">
      <x v="4"/>
    </i>
    <i>
      <x v="3"/>
    </i>
    <i r="1">
      <x v="27"/>
    </i>
    <i>
      <x v="21"/>
    </i>
    <i r="1">
      <x v="24"/>
    </i>
    <i>
      <x v="39"/>
    </i>
    <i r="1">
      <x v="16"/>
    </i>
    <i>
      <x v="24"/>
    </i>
    <i r="1">
      <x v="27"/>
    </i>
    <i>
      <x v="33"/>
    </i>
    <i r="1">
      <x v="3"/>
    </i>
    <i>
      <x v="4"/>
    </i>
    <i r="1">
      <x v="20"/>
    </i>
    <i>
      <x v="40"/>
    </i>
    <i r="1">
      <x v="5"/>
    </i>
    <i>
      <x v="30"/>
    </i>
    <i r="1">
      <x v="9"/>
    </i>
    <i>
      <x v="46"/>
    </i>
    <i r="1">
      <x v="20"/>
    </i>
    <i>
      <x v="32"/>
    </i>
    <i r="1">
      <x v="21"/>
    </i>
    <i>
      <x v="6"/>
    </i>
    <i r="1">
      <x v="21"/>
    </i>
    <i>
      <x v="7"/>
    </i>
    <i r="1">
      <x v="8"/>
    </i>
    <i>
      <x v="36"/>
    </i>
    <i r="1">
      <x v="3"/>
    </i>
    <i>
      <x v="47"/>
    </i>
    <i r="1">
      <x v="3"/>
    </i>
    <i>
      <x v="5"/>
    </i>
    <i r="1">
      <x v="26"/>
    </i>
    <i>
      <x v="23"/>
    </i>
    <i r="1">
      <x v="7"/>
    </i>
    <i>
      <x v="29"/>
    </i>
    <i r="1">
      <x v="4"/>
    </i>
    <i>
      <x v="15"/>
    </i>
    <i r="1">
      <x v="3"/>
    </i>
    <i>
      <x v="49"/>
    </i>
    <i r="1">
      <x v="11"/>
    </i>
    <i>
      <x v="41"/>
    </i>
    <i r="1">
      <x v="18"/>
    </i>
    <i>
      <x v="14"/>
    </i>
    <i r="1">
      <x v="22"/>
    </i>
    <i>
      <x v="10"/>
    </i>
    <i r="1">
      <x v="19"/>
    </i>
    <i>
      <x v="37"/>
    </i>
    <i r="1">
      <x v="2"/>
    </i>
    <i>
      <x v="9"/>
    </i>
    <i r="1">
      <x v="23"/>
    </i>
    <i>
      <x v="18"/>
    </i>
    <i r="1">
      <x v="13"/>
    </i>
    <i>
      <x v="44"/>
    </i>
    <i r="1">
      <x v="6"/>
    </i>
    <i>
      <x v="19"/>
    </i>
    <i r="1">
      <x v="15"/>
    </i>
    <i>
      <x v="42"/>
    </i>
    <i r="1">
      <x v="9"/>
    </i>
    <i>
      <x v="13"/>
    </i>
    <i r="1">
      <x v="19"/>
    </i>
    <i>
      <x v="28"/>
    </i>
    <i r="1">
      <x v="12"/>
    </i>
    <i>
      <x v="1"/>
    </i>
    <i r="1">
      <x v="14"/>
    </i>
    <i>
      <x v="31"/>
    </i>
    <i r="1">
      <x v="27"/>
    </i>
    <i>
      <x v="8"/>
    </i>
    <i r="1">
      <x v="27"/>
    </i>
    <i>
      <x/>
    </i>
    <i r="1">
      <x v="2"/>
    </i>
    <i>
      <x v="26"/>
    </i>
    <i r="1">
      <x v="26"/>
    </i>
    <i>
      <x v="45"/>
    </i>
    <i r="1">
      <x/>
    </i>
    <i>
      <x v="43"/>
    </i>
    <i r="1">
      <x v="25"/>
    </i>
    <i>
      <x v="12"/>
    </i>
    <i r="1">
      <x v="13"/>
    </i>
    <i>
      <x v="27"/>
    </i>
    <i r="1">
      <x v="15"/>
    </i>
    <i>
      <x v="25"/>
    </i>
    <i r="1">
      <x v="10"/>
    </i>
    <i>
      <x v="2"/>
    </i>
    <i r="1">
      <x v="20"/>
    </i>
    <i>
      <x v="48"/>
    </i>
    <i r="1">
      <x v="15"/>
    </i>
    <i>
      <x v="34"/>
    </i>
    <i r="1">
      <x v="24"/>
    </i>
    <i>
      <x v="22"/>
    </i>
    <i r="1">
      <x v="17"/>
    </i>
    <i>
      <x v="16"/>
    </i>
    <i r="1">
      <x v="27"/>
    </i>
    <i t="grand">
      <x/>
    </i>
  </rowItems>
  <colItems count="1">
    <i/>
  </colItems>
  <dataFields count="1">
    <dataField name="Sum of Revenue" fld="8" baseField="0" baseItem="0"/>
  </dataFields>
  <formats count="17">
    <format dxfId="92">
      <pivotArea collapsedLevelsAreSubtotals="1" fieldPosition="0">
        <references count="1">
          <reference field="0" count="1">
            <x v="11"/>
          </reference>
        </references>
      </pivotArea>
    </format>
    <format dxfId="91">
      <pivotArea collapsedLevelsAreSubtotals="1" fieldPosition="0">
        <references count="2">
          <reference field="0" count="1" selected="0">
            <x v="11"/>
          </reference>
          <reference field="4" count="1">
            <x v="14"/>
          </reference>
        </references>
      </pivotArea>
    </format>
    <format dxfId="90">
      <pivotArea collapsedLevelsAreSubtotals="1" fieldPosition="0">
        <references count="1">
          <reference field="0" count="1">
            <x v="20"/>
          </reference>
        </references>
      </pivotArea>
    </format>
    <format dxfId="89">
      <pivotArea collapsedLevelsAreSubtotals="1" fieldPosition="0">
        <references count="2">
          <reference field="0" count="1" selected="0">
            <x v="20"/>
          </reference>
          <reference field="4" count="1">
            <x v="20"/>
          </reference>
        </references>
      </pivotArea>
    </format>
    <format dxfId="88">
      <pivotArea collapsedLevelsAreSubtotals="1" fieldPosition="0">
        <references count="1">
          <reference field="0" count="1">
            <x v="35"/>
          </reference>
        </references>
      </pivotArea>
    </format>
    <format dxfId="87">
      <pivotArea collapsedLevelsAreSubtotals="1" fieldPosition="0">
        <references count="2">
          <reference field="0" count="1" selected="0">
            <x v="35"/>
          </reference>
          <reference field="4" count="1">
            <x v="9"/>
          </reference>
        </references>
      </pivotArea>
    </format>
    <format dxfId="86">
      <pivotArea collapsedLevelsAreSubtotals="1" fieldPosition="0">
        <references count="1">
          <reference field="0" count="1">
            <x v="38"/>
          </reference>
        </references>
      </pivotArea>
    </format>
    <format dxfId="85">
      <pivotArea collapsedLevelsAreSubtotals="1" fieldPosition="0">
        <references count="2">
          <reference field="0" count="1" selected="0">
            <x v="38"/>
          </reference>
          <reference field="4" count="1">
            <x v="1"/>
          </reference>
        </references>
      </pivotArea>
    </format>
    <format dxfId="84">
      <pivotArea collapsedLevelsAreSubtotals="1" fieldPosition="0">
        <references count="1">
          <reference field="0" count="1">
            <x v="17"/>
          </reference>
        </references>
      </pivotArea>
    </format>
    <format dxfId="83">
      <pivotArea collapsedLevelsAreSubtotals="1" fieldPosition="0">
        <references count="2">
          <reference field="0" count="1" selected="0">
            <x v="17"/>
          </reference>
          <reference field="4" count="1">
            <x v="4"/>
          </reference>
        </references>
      </pivotArea>
    </format>
    <format dxfId="82">
      <pivotArea collapsedLevelsAreSubtotals="1" fieldPosition="0">
        <references count="1">
          <reference field="0" count="1">
            <x v="3"/>
          </reference>
        </references>
      </pivotArea>
    </format>
    <format dxfId="81">
      <pivotArea dataOnly="0" labelOnly="1" fieldPosition="0">
        <references count="1">
          <reference field="0" count="6">
            <x v="3"/>
            <x v="11"/>
            <x v="17"/>
            <x v="20"/>
            <x v="35"/>
            <x v="38"/>
          </reference>
        </references>
      </pivotArea>
    </format>
    <format dxfId="80">
      <pivotArea dataOnly="0" labelOnly="1" fieldPosition="0">
        <references count="2">
          <reference field="0" count="1" selected="0">
            <x v="11"/>
          </reference>
          <reference field="4" count="1">
            <x v="14"/>
          </reference>
        </references>
      </pivotArea>
    </format>
    <format dxfId="79">
      <pivotArea dataOnly="0" labelOnly="1" fieldPosition="0">
        <references count="2">
          <reference field="0" count="1" selected="0">
            <x v="20"/>
          </reference>
          <reference field="4" count="1">
            <x v="20"/>
          </reference>
        </references>
      </pivotArea>
    </format>
    <format dxfId="78">
      <pivotArea dataOnly="0" labelOnly="1" fieldPosition="0">
        <references count="2">
          <reference field="0" count="1" selected="0">
            <x v="35"/>
          </reference>
          <reference field="4" count="1">
            <x v="9"/>
          </reference>
        </references>
      </pivotArea>
    </format>
    <format dxfId="77">
      <pivotArea dataOnly="0" labelOnly="1" fieldPosition="0">
        <references count="2">
          <reference field="0" count="1" selected="0">
            <x v="38"/>
          </reference>
          <reference field="4" count="1">
            <x v="1"/>
          </reference>
        </references>
      </pivotArea>
    </format>
    <format dxfId="76">
      <pivotArea dataOnly="0" labelOnly="1" fieldPosition="0">
        <references count="2">
          <reference field="0" count="1" selected="0">
            <x v="17"/>
          </reference>
          <reference field="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F0BE83-116F-475C-B557-2ADE3DD9B86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Analytics_Excel_Practice_50_Rows.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FECD4E-1614-49A4-879B-C8359FD1A518}"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38" firstHeaderRow="1" firstDataRow="1" firstDataCol="1"/>
  <pivotFields count="2">
    <pivotField dataField="1" subtotalTop="0" showAll="0" defaultSubtotal="0"/>
    <pivotField axis="axisRow" allDrilled="1" subtotalTop="0" showAll="0"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0"/>
            </reference>
          </references>
        </pivotArea>
      </autoSortScope>
    </pivotField>
  </pivotFields>
  <rowFields count="1">
    <field x="1"/>
  </rowFields>
  <rowItems count="35">
    <i>
      <x v="12"/>
    </i>
    <i>
      <x v="23"/>
    </i>
    <i>
      <x v="15"/>
    </i>
    <i>
      <x v="32"/>
    </i>
    <i>
      <x v="1"/>
    </i>
    <i>
      <x v="31"/>
    </i>
    <i>
      <x v="7"/>
    </i>
    <i>
      <x v="4"/>
    </i>
    <i>
      <x v="24"/>
    </i>
    <i>
      <x v="30"/>
    </i>
    <i>
      <x v="10"/>
    </i>
    <i>
      <x v="8"/>
    </i>
    <i>
      <x v="21"/>
    </i>
    <i>
      <x v="20"/>
    </i>
    <i>
      <x v="22"/>
    </i>
    <i>
      <x v="3"/>
    </i>
    <i>
      <x v="17"/>
    </i>
    <i>
      <x v="19"/>
    </i>
    <i>
      <x v="5"/>
    </i>
    <i>
      <x v="29"/>
    </i>
    <i>
      <x/>
    </i>
    <i>
      <x v="27"/>
    </i>
    <i>
      <x v="26"/>
    </i>
    <i>
      <x v="18"/>
    </i>
    <i>
      <x v="28"/>
    </i>
    <i>
      <x v="6"/>
    </i>
    <i>
      <x v="33"/>
    </i>
    <i>
      <x v="2"/>
    </i>
    <i>
      <x v="25"/>
    </i>
    <i>
      <x v="11"/>
    </i>
    <i>
      <x v="13"/>
    </i>
    <i>
      <x v="9"/>
    </i>
    <i>
      <x v="14"/>
    </i>
    <i>
      <x v="16"/>
    </i>
    <i t="grand">
      <x/>
    </i>
  </rowItems>
  <colItems count="1">
    <i/>
  </colItems>
  <dataFields count="1">
    <dataField name="Sum of Revenue" fld="0"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7"/>
          </reference>
        </references>
      </pivotArea>
    </chartFormat>
    <chartFormat chart="4" format="4">
      <pivotArea type="data" outline="0" fieldPosition="0">
        <references count="2">
          <reference field="4294967294" count="1" selected="0">
            <x v="0"/>
          </reference>
          <reference field="1" count="1" selected="0">
            <x v="27"/>
          </reference>
        </references>
      </pivotArea>
    </chartFormat>
    <chartFormat chart="4" format="5">
      <pivotArea type="data" outline="0" fieldPosition="0">
        <references count="2">
          <reference field="4294967294" count="1" selected="0">
            <x v="0"/>
          </reference>
          <reference field="1" count="1" selected="0">
            <x v="17"/>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1AB7EB-8AD5-4415-8F35-FF2455EB7AA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v="1"/>
    </i>
    <i>
      <x v="2"/>
    </i>
    <i>
      <x/>
    </i>
    <i>
      <x v="3"/>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1D7C96-D122-4A06-9C16-998E4C206C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64" showAll="0"/>
    <pivotField showAll="0"/>
    <pivotField showAll="0"/>
    <pivotField showAll="0"/>
    <pivotField axis="axisRow" showAll="0">
      <items count="4">
        <item x="0"/>
        <item x="2"/>
        <item x="1"/>
        <item t="default"/>
      </items>
    </pivotField>
    <pivotField showAll="0"/>
    <pivotField showAll="0"/>
    <pivotField numFmtId="165" showAll="0"/>
    <pivotField showAll="0"/>
  </pivotFields>
  <rowFields count="1">
    <field x="5"/>
  </rowFields>
  <rowItems count="4">
    <i>
      <x/>
    </i>
    <i>
      <x v="1"/>
    </i>
    <i>
      <x v="2"/>
    </i>
    <i t="grand">
      <x/>
    </i>
  </rowItems>
  <colItems count="1">
    <i/>
  </colItems>
  <dataFields count="1">
    <dataField name="Count of Sal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5D5C04-EC1A-49BA-B374-6684C57D8FE4}" name="PivotTable1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1"/>
    </i>
    <i>
      <x v="2"/>
    </i>
    <i>
      <x v="4"/>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EBE24C-B888-4060-939D-DA7C3C879C6A}" sourceName="[Range].[Region]">
  <pivotTables>
    <pivotTable tabId="13" name="PivotTable6"/>
  </pivotTables>
  <data>
    <olap pivotCacheId="1623621744">
      <levels count="2">
        <level uniqueName="[Range].[Region].[(All)]" sourceCaption="(All)" count="0"/>
        <level uniqueName="[Range].[Region].[Region]" sourceCaption="Region" count="6">
          <ranges>
            <range startItem="0">
              <i n="[Range].[Region].&amp;" c="(blank)"/>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tus" xr10:uid="{BA34EEF5-25B0-41DE-9224-ADB62E7C1067}" sourceName="[Table8].[Deal_Status]">
  <pivotTables>
    <pivotTable tabId="13" name="PivotTable6"/>
  </pivotTables>
  <data>
    <olap pivotCacheId="1623621744">
      <levels count="2">
        <level uniqueName="[Table8].[Deal_Status].[(All)]" sourceCaption="(All)" count="0"/>
        <level uniqueName="[Table8].[Deal_Status].[Deal_Status]" sourceCaption="Deal_Status" count="3">
          <ranges>
            <range startItem="0">
              <i n="[Table8].[Deal_Status].&amp;[Lost]" c="Lost"/>
              <i n="[Table8].[Deal_Status].&amp;[Pending]" c="Pending"/>
              <i n="[Table8].[Deal_Status].&amp;[Won]" c="Won"/>
            </range>
          </ranges>
        </level>
      </levels>
      <selections count="1">
        <selection n="[Table8].[Deal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2ADA42-CCDD-4535-9DB1-231797BE67B9}" cache="Slicer_Region" caption="Region" level="1" rowHeight="241300"/>
  <slicer name="Deal_Status" xr10:uid="{E30BD1C6-9917-413D-9722-26B241EAF483}" cache="Slicer_Deal_Status" caption="Deal_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D6FFE3-CD4E-4C2F-AE09-9E7D4D328505}" name="Table1" displayName="Table1" ref="V4:W8" totalsRowShown="0" headerRowCellStyle="40% - Accent2" dataCellStyle="40% - Accent2">
  <autoFilter ref="V4:W8" xr:uid="{24D6FFE3-CD4E-4C2F-AE09-9E7D4D328505}"/>
  <tableColumns count="2">
    <tableColumn id="1" xr3:uid="{89F6839A-39E6-4E16-9408-E3D7E39FE311}" name="REGION" dataCellStyle="40% - Accent2"/>
    <tableColumn id="2" xr3:uid="{C34D15CC-9561-4658-B3EB-A6464BB96CDA}" name="REVENUE" dataDxfId="97" dataCellStyle="40% - Accent2">
      <calculatedColumnFormula>SUMIF(Sales!K2:K51, V5, Sales!I2:I51)</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EC16F0-BCDE-4754-9498-098B11F6F04A}" name="Table7" displayName="Table7" ref="Y4:Z35" totalsRowShown="0" headerRowCellStyle="40% - Accent2" dataCellStyle="40% - Accent2">
  <autoFilter ref="Y4:Z35" xr:uid="{CAEC16F0-BCDE-4754-9498-098B11F6F04A}"/>
  <sortState xmlns:xlrd2="http://schemas.microsoft.com/office/spreadsheetml/2017/richdata2" ref="Y5:Z35">
    <sortCondition descending="1" ref="Z4:Z35"/>
  </sortState>
  <tableColumns count="2">
    <tableColumn id="1" xr3:uid="{5F87BBD8-0013-44CC-A59F-EB81A6879090}" name="Products" dataDxfId="96" totalsRowDxfId="95" dataCellStyle="40% - Accent2"/>
    <tableColumn id="2" xr3:uid="{54534FD8-2CBC-4E82-BA82-A7CE61256F16}" name="Revenue" dataDxfId="94" totalsRowDxfId="93" dataCellStyle="40% - Accent2">
      <calculatedColumnFormula>SUMIF(Sales!N2:N51,Y5,Sales!I2:I51)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3D491E-A712-415A-845A-69DF9B58B2F1}" name="Table8" displayName="Table8" ref="A1:N51" totalsRowShown="0" headerRowDxfId="75" dataDxfId="73" headerRowBorderDxfId="74" tableBorderDxfId="72">
  <autoFilter ref="A1:N51" xr:uid="{CE3D491E-A712-415A-845A-69DF9B58B2F1}"/>
  <sortState xmlns:xlrd2="http://schemas.microsoft.com/office/spreadsheetml/2017/richdata2" ref="A2:N51">
    <sortCondition ref="D1:D51"/>
  </sortState>
  <tableColumns count="14">
    <tableColumn id="1" xr3:uid="{2BAB5D7E-6A6A-45A5-9E93-20C67D5B24C9}" name="Sale_ID" dataDxfId="71"/>
    <tableColumn id="2" xr3:uid="{BC141EC7-01D2-4EA3-8CE9-D7C90AFDB3D6}" name="Date" dataDxfId="70"/>
    <tableColumn id="3" xr3:uid="{E6CDA835-0980-4C63-81A9-4A6F7CE23553}" name="Customer_ID" dataDxfId="69"/>
    <tableColumn id="4" xr3:uid="{42B8C8A8-1427-49E3-988E-8D749EA3B63B}" name="Product_ID" dataDxfId="68"/>
    <tableColumn id="5" xr3:uid="{430DB44F-71CA-49AB-AD07-2D81AB675288}" name="Salesperson_ID" dataDxfId="67">
      <calculatedColumnFormula>_xlfn.XLOOKUP(L2, L2:L51, Salespeople!A2:A51)</calculatedColumnFormula>
    </tableColumn>
    <tableColumn id="6" xr3:uid="{FC75A24B-D112-43EB-A6DB-9B619F1EB572}" name="Deal_Status" dataDxfId="66"/>
    <tableColumn id="7" xr3:uid="{16A251D2-4030-494D-B83A-F88DC5F159E9}" name="Quantity" dataDxfId="65"/>
    <tableColumn id="8" xr3:uid="{F31AAEFE-D2CF-40D4-9B0B-7442B43B9BE0}" name="Discount" dataDxfId="64"/>
    <tableColumn id="9" xr3:uid="{C6430795-FD05-44ED-AE83-0B2EFC323B4A}" name="Revenue" dataDxfId="63"/>
    <tableColumn id="10" xr3:uid="{F6FDDD4C-ABDA-49F7-9E32-AAFCBA3718B8}" name="Lost_Reason"/>
    <tableColumn id="16" xr3:uid="{F63F7007-1715-4A55-A717-62BB1260E80B}" name="Region" dataDxfId="62">
      <calculatedColumnFormula>_xlfn.XLOOKUP(E2,E2:E51, Salespeople!D2:D51)</calculatedColumnFormula>
    </tableColumn>
    <tableColumn id="17" xr3:uid="{3EF9B04C-FD90-4C90-8222-62D3D599B3D6}" name="Salesperson_Name" dataDxfId="61"/>
    <tableColumn id="18" xr3:uid="{9E57995C-557B-47B1-81D5-FEC2828CB43A}" name="MM-YYYY" dataDxfId="60">
      <calculatedColumnFormula>TEXT(B2,"mmm-yyyy")</calculatedColumnFormula>
    </tableColumn>
    <tableColumn id="19" xr3:uid="{3F143A07-4E9F-4187-B8B8-63085D70FF5B}" name="Products Name" dataDxfId="59">
      <calculatedColumnFormula>_xlfn.XLOOKUP(D2, D2:D51, Products!B2:B51)</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87F11F-4FD9-4B21-85B7-E759F46D22EF}" name="Table9" displayName="Table9" ref="A1:B4" totalsRowShown="0">
  <autoFilter ref="A1:B4" xr:uid="{8D87F11F-4FD9-4B21-85B7-E759F46D22EF}"/>
  <sortState xmlns:xlrd2="http://schemas.microsoft.com/office/spreadsheetml/2017/richdata2" ref="A2:B4">
    <sortCondition descending="1" ref="B1:B4"/>
  </sortState>
  <tableColumns count="2">
    <tableColumn id="1" xr3:uid="{BABD8DE1-2105-4380-9AAD-E35184D708DE}" name="Lost_Reason"/>
    <tableColumn id="2" xr3:uid="{890164C3-8B20-4451-9897-A3686A6BD359}" name="Number of Lost Deals ">
      <calculatedColumnFormula>COUNTIFS(Sales!$F$2:$F$51,"Lost",Sales!$J$2:$J$51,A2)</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D193C-904A-4FFC-AADD-66DB820B2856}" name="Table2" displayName="Table2" ref="A1:F51" totalsRowShown="0" headerRowDxfId="58" dataDxfId="56" headerRowBorderDxfId="57" tableBorderDxfId="55" totalsRowBorderDxfId="54">
  <autoFilter ref="A1:F51" xr:uid="{27DD193C-904A-4FFC-AADD-66DB820B2856}"/>
  <tableColumns count="6">
    <tableColumn id="1" xr3:uid="{DCFDC9EF-A4E1-4435-A606-1A0203A8B48A}" name="Customer_ID" dataDxfId="53"/>
    <tableColumn id="2" xr3:uid="{640A33DF-FB61-44E4-B9AD-E1DF7D687548}" name="Customer_Name" dataDxfId="52"/>
    <tableColumn id="3" xr3:uid="{69D408BB-2A84-4749-96F3-A9BBA057FE18}" name="Industry" dataDxfId="51"/>
    <tableColumn id="4" xr3:uid="{C02398CA-9B2B-4DD7-8CFB-418F47F787A8}" name="Customer_Segment" dataDxfId="50"/>
    <tableColumn id="5" xr3:uid="{B797C3CB-4E18-454D-8E92-4574CFCBA11A}" name="City" dataDxfId="49"/>
    <tableColumn id="6" xr3:uid="{1771E962-892A-499B-BF0A-4B515B50DFF5}" name="State" dataDxfId="4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D7B45D-AF42-4665-903B-8B5049B32B9A}" name="Table3" displayName="Table3" ref="A1:D51" totalsRowShown="0" headerRowDxfId="47" headerRowBorderDxfId="46" tableBorderDxfId="45" totalsRowBorderDxfId="44">
  <autoFilter ref="A1:D51" xr:uid="{B9D7B45D-AF42-4665-903B-8B5049B32B9A}"/>
  <tableColumns count="4">
    <tableColumn id="1" xr3:uid="{BB7B52EE-0A60-4D06-AB4D-ABE1FFEE98A0}" name="Product_ID" dataDxfId="43"/>
    <tableColumn id="2" xr3:uid="{A8A40143-B240-4F2D-AA36-E01CA4AEE8B9}" name="Product_Name" dataDxfId="42"/>
    <tableColumn id="3" xr3:uid="{D93C29DC-9BC9-4B05-98F1-957131CD0056}" name="Category" dataDxfId="41"/>
    <tableColumn id="4" xr3:uid="{5BFD5CFB-6F48-4867-87A4-FA975132A87E}" name="Price" dataDxfId="4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44771A-96FB-419B-8465-34B98EA4327F}" name="Table4" displayName="Table4" ref="A1:E51" totalsRowShown="0" headerRowDxfId="39" dataDxfId="37" headerRowBorderDxfId="38" tableBorderDxfId="36" totalsRowBorderDxfId="35">
  <autoFilter ref="A1:E51" xr:uid="{1244771A-96FB-419B-8465-34B98EA4327F}"/>
  <tableColumns count="5">
    <tableColumn id="1" xr3:uid="{581E4621-A2CC-4F8A-B403-CE4C6A8CB5BC}" name="Salesperson_ID" dataDxfId="34"/>
    <tableColumn id="2" xr3:uid="{5909CA60-0086-4EEC-ACAD-EA850EEDAE90}" name="Salesperson_Name" dataDxfId="33"/>
    <tableColumn id="3" xr3:uid="{9E4C51C3-56CE-4476-8E61-AD235137DDE6}" name="Team" dataDxfId="32"/>
    <tableColumn id="4" xr3:uid="{A5AEFF3A-563F-4F24-8B79-B93CA48F4BB0}" name="Region" dataDxfId="31"/>
    <tableColumn id="5" xr3:uid="{FB96570F-6FC2-4039-8AB0-F3F5F8F195BB}" name="Manager" dataDxfId="3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8C9820-EA9C-4A0A-8E6C-8FF64D19336A}" name="Table5" displayName="Table5" ref="A1:C51" totalsRowShown="0" headerRowBorderDxfId="29" tableBorderDxfId="28" totalsRowBorderDxfId="27">
  <autoFilter ref="A1:C51" xr:uid="{2B8C9820-EA9C-4A0A-8E6C-8FF64D19336A}"/>
  <tableColumns count="3">
    <tableColumn id="1" xr3:uid="{F5417548-D0B4-4941-A671-520CB591777C}" name="Month" dataDxfId="26"/>
    <tableColumn id="2" xr3:uid="{8F2BD64A-0AEC-474F-B6F0-3B43D36A4EF1}" name="Salesperson_ID" dataDxfId="25"/>
    <tableColumn id="3" xr3:uid="{E27A71D3-428D-493A-8FBF-70DDD7C37CB0}" name="Target" dataDxfId="24"/>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635105-AC0F-4F85-BA09-CE52E0A04313}" name="Table6" displayName="Table6" ref="A1:G51" totalsRowShown="0" headerRowDxfId="23" dataDxfId="21" headerRowBorderDxfId="22" tableBorderDxfId="20" totalsRowBorderDxfId="19">
  <autoFilter ref="A1:G51" xr:uid="{09635105-AC0F-4F85-BA09-CE52E0A04313}"/>
  <tableColumns count="7">
    <tableColumn id="1" xr3:uid="{3CE5A45E-B1BB-4ED8-AE9F-83707C9FF19F}" name="Date" dataDxfId="18"/>
    <tableColumn id="2" xr3:uid="{78F66097-6BD6-4590-8655-0475481DCA05}" name="Year" dataDxfId="17"/>
    <tableColumn id="3" xr3:uid="{951B7322-9189-4D3B-9F2F-EE349894C0A0}" name="Month" dataDxfId="16"/>
    <tableColumn id="4" xr3:uid="{7EA93590-C5E6-4FA9-A88B-2EE8E1557CCE}" name="Month_Number" dataDxfId="15"/>
    <tableColumn id="5" xr3:uid="{03837669-54EF-403A-8EDA-9CB6668A6C66}" name="Quarter" dataDxfId="14"/>
    <tableColumn id="6" xr3:uid="{26485662-5FBE-47A4-A71A-5B31776C172B}" name="Week_Number" dataDxfId="13"/>
    <tableColumn id="7" xr3:uid="{04B1F54C-F896-43DF-96A8-7413001B3904}" name="Day" dataDxfId="1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6B5DF5E-EB1D-41C5-A9C6-160DA0DD937D}" name="Table11" displayName="Table11" ref="A1:E74" totalsRowShown="0" headerRowDxfId="11" headerRowBorderDxfId="10" tableBorderDxfId="9">
  <autoFilter ref="A1:E74" xr:uid="{26B5DF5E-EB1D-41C5-A9C6-160DA0DD937D}"/>
  <tableColumns count="5">
    <tableColumn id="1" xr3:uid="{6550A381-A734-42C9-9B16-1AEFFA95408D}" name="Level" dataDxfId="8"/>
    <tableColumn id="2" xr3:uid="{6087C505-B5A8-402A-BD08-EF916AEEF1DA}" name="Task" dataDxfId="7"/>
    <tableColumn id="3" xr3:uid="{699AAA84-0943-461A-B4D3-11217CC7DA8D}" name="Excel Skill" dataDxfId="6"/>
    <tableColumn id="4" xr3:uid="{70142A18-85D7-4B64-B021-5E88C4BE3E6D}" name="Answers" dataDxfId="5"/>
    <tableColumn id="5" xr3:uid="{0E5417F0-4937-4487-AC34-564E0449704C}" name="Status" dataDxfId="4"/>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9E999-DCB6-4F08-AFD5-DDA7F154F2D1}">
  <dimension ref="A3:B38"/>
  <sheetViews>
    <sheetView workbookViewId="0">
      <selection activeCell="H14" sqref="H14"/>
    </sheetView>
  </sheetViews>
  <sheetFormatPr defaultRowHeight="14.5"/>
  <cols>
    <col min="1" max="1" width="12.36328125" bestFit="1" customWidth="1"/>
    <col min="2" max="2" width="14.36328125" bestFit="1" customWidth="1"/>
  </cols>
  <sheetData>
    <row r="3" spans="1:2">
      <c r="A3" s="29" t="s">
        <v>577</v>
      </c>
      <c r="B3" t="s">
        <v>579</v>
      </c>
    </row>
    <row r="4" spans="1:2">
      <c r="A4" s="30" t="s">
        <v>64</v>
      </c>
      <c r="B4" s="31">
        <v>51062.400000000001</v>
      </c>
    </row>
    <row r="5" spans="1:2">
      <c r="A5" s="30" t="s">
        <v>95</v>
      </c>
      <c r="B5" s="31">
        <v>0</v>
      </c>
    </row>
    <row r="6" spans="1:2">
      <c r="A6" s="30" t="s">
        <v>61</v>
      </c>
      <c r="B6" s="31">
        <v>0</v>
      </c>
    </row>
    <row r="7" spans="1:2">
      <c r="A7" s="30" t="s">
        <v>130</v>
      </c>
      <c r="B7" s="31">
        <v>248472.9</v>
      </c>
    </row>
    <row r="8" spans="1:2">
      <c r="A8" s="30" t="s">
        <v>126</v>
      </c>
      <c r="B8" s="31">
        <v>413500</v>
      </c>
    </row>
    <row r="9" spans="1:2">
      <c r="A9" s="30" t="s">
        <v>112</v>
      </c>
      <c r="B9" s="31">
        <v>0</v>
      </c>
    </row>
    <row r="10" spans="1:2">
      <c r="A10" s="30" t="s">
        <v>73</v>
      </c>
      <c r="B10" s="31">
        <v>404070</v>
      </c>
    </row>
    <row r="11" spans="1:2">
      <c r="A11" s="30" t="s">
        <v>139</v>
      </c>
      <c r="B11" s="31">
        <v>0</v>
      </c>
    </row>
    <row r="12" spans="1:2">
      <c r="A12" s="30" t="s">
        <v>35</v>
      </c>
      <c r="B12" s="31">
        <v>74176</v>
      </c>
    </row>
    <row r="13" spans="1:2">
      <c r="A13" s="30" t="s">
        <v>84</v>
      </c>
      <c r="B13" s="31">
        <v>253880</v>
      </c>
    </row>
    <row r="14" spans="1:2">
      <c r="A14" s="30" t="s">
        <v>107</v>
      </c>
      <c r="B14" s="31">
        <v>56176</v>
      </c>
    </row>
    <row r="15" spans="1:2">
      <c r="A15" s="30" t="s">
        <v>27</v>
      </c>
      <c r="B15" s="31">
        <v>286499.20000000001</v>
      </c>
    </row>
    <row r="16" spans="1:2">
      <c r="A16" s="30" t="s">
        <v>152</v>
      </c>
      <c r="B16" s="31">
        <v>143008.25</v>
      </c>
    </row>
    <row r="17" spans="1:2">
      <c r="A17" s="30" t="s">
        <v>103</v>
      </c>
      <c r="B17" s="31">
        <v>0</v>
      </c>
    </row>
    <row r="18" spans="1:2">
      <c r="A18" s="30" t="s">
        <v>32</v>
      </c>
      <c r="B18" s="31">
        <v>203388</v>
      </c>
    </row>
    <row r="19" spans="1:2">
      <c r="A19" s="30" t="s">
        <v>148</v>
      </c>
      <c r="B19" s="31">
        <v>0</v>
      </c>
    </row>
    <row r="20" spans="1:2">
      <c r="A20" s="30" t="s">
        <v>109</v>
      </c>
      <c r="B20" s="31">
        <v>784564.2</v>
      </c>
    </row>
    <row r="21" spans="1:2">
      <c r="A21" s="30" t="s">
        <v>22</v>
      </c>
      <c r="B21" s="31">
        <v>0</v>
      </c>
    </row>
    <row r="22" spans="1:2">
      <c r="A22" s="30" t="s">
        <v>12</v>
      </c>
      <c r="B22" s="31">
        <v>0</v>
      </c>
    </row>
    <row r="23" spans="1:2">
      <c r="A23" s="30" t="s">
        <v>82</v>
      </c>
      <c r="B23" s="31">
        <v>561267.35</v>
      </c>
    </row>
    <row r="24" spans="1:2">
      <c r="A24" s="30" t="s">
        <v>89</v>
      </c>
      <c r="B24" s="31">
        <v>67413.5</v>
      </c>
    </row>
    <row r="25" spans="1:2">
      <c r="A25" s="30" t="s">
        <v>18</v>
      </c>
      <c r="B25" s="31">
        <v>0</v>
      </c>
    </row>
    <row r="26" spans="1:2">
      <c r="A26" s="30" t="s">
        <v>47</v>
      </c>
      <c r="B26" s="31">
        <v>63079.4</v>
      </c>
    </row>
    <row r="27" spans="1:2">
      <c r="A27" s="30" t="s">
        <v>121</v>
      </c>
      <c r="B27" s="31">
        <v>104018.4</v>
      </c>
    </row>
    <row r="28" spans="1:2">
      <c r="A28" s="30" t="s">
        <v>43</v>
      </c>
      <c r="B28" s="31">
        <v>112109.5</v>
      </c>
    </row>
    <row r="29" spans="1:2">
      <c r="A29" s="30" t="s">
        <v>145</v>
      </c>
      <c r="B29" s="31">
        <v>74518</v>
      </c>
    </row>
    <row r="30" spans="1:2">
      <c r="A30" s="30" t="s">
        <v>56</v>
      </c>
      <c r="B30" s="31">
        <v>592347.80000000005</v>
      </c>
    </row>
    <row r="31" spans="1:2">
      <c r="A31" s="30" t="s">
        <v>70</v>
      </c>
      <c r="B31" s="31">
        <v>0</v>
      </c>
    </row>
    <row r="32" spans="1:2">
      <c r="A32" s="30" t="s">
        <v>124</v>
      </c>
      <c r="B32" s="31">
        <v>22315</v>
      </c>
    </row>
    <row r="33" spans="1:2">
      <c r="A33" s="30" t="s">
        <v>53</v>
      </c>
      <c r="B33" s="31">
        <v>48594.400000000001</v>
      </c>
    </row>
    <row r="34" spans="1:2">
      <c r="A34" s="30" t="s">
        <v>79</v>
      </c>
      <c r="B34" s="31">
        <v>0</v>
      </c>
    </row>
    <row r="35" spans="1:2">
      <c r="A35" s="30" t="s">
        <v>136</v>
      </c>
      <c r="B35" s="31">
        <v>51272</v>
      </c>
    </row>
    <row r="36" spans="1:2">
      <c r="A36" s="30" t="s">
        <v>92</v>
      </c>
      <c r="B36" s="31">
        <v>236384</v>
      </c>
    </row>
    <row r="37" spans="1:2">
      <c r="A37" s="30" t="s">
        <v>39</v>
      </c>
      <c r="B37" s="31">
        <v>293668.2</v>
      </c>
    </row>
    <row r="38" spans="1:2">
      <c r="A38" s="30" t="s">
        <v>578</v>
      </c>
      <c r="B38" s="31">
        <v>5145784.5000000009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B059-DE84-4334-A16B-67CCF8C252E5}">
  <dimension ref="A3:B9"/>
  <sheetViews>
    <sheetView workbookViewId="0">
      <selection activeCell="P12" sqref="P12"/>
    </sheetView>
  </sheetViews>
  <sheetFormatPr defaultRowHeight="14.5"/>
  <cols>
    <col min="1" max="1" width="10.7265625" bestFit="1" customWidth="1"/>
    <col min="2" max="2" width="14.36328125" bestFit="1" customWidth="1"/>
  </cols>
  <sheetData>
    <row r="3" spans="1:2">
      <c r="A3" s="29" t="s">
        <v>334</v>
      </c>
      <c r="B3" t="s">
        <v>579</v>
      </c>
    </row>
    <row r="4" spans="1:2">
      <c r="A4" s="30" t="s">
        <v>347</v>
      </c>
      <c r="B4" s="31">
        <v>985974.4</v>
      </c>
    </row>
    <row r="5" spans="1:2">
      <c r="A5" s="30" t="s">
        <v>338</v>
      </c>
      <c r="B5" s="31">
        <v>1280794.55</v>
      </c>
    </row>
    <row r="6" spans="1:2">
      <c r="A6" s="30" t="s">
        <v>343</v>
      </c>
      <c r="B6" s="31">
        <v>1035795.3</v>
      </c>
    </row>
    <row r="7" spans="1:2">
      <c r="A7" s="30" t="s">
        <v>350</v>
      </c>
      <c r="B7" s="31">
        <v>0</v>
      </c>
    </row>
    <row r="8" spans="1:2">
      <c r="A8" s="30" t="s">
        <v>363</v>
      </c>
      <c r="B8" s="31">
        <v>1843220.25</v>
      </c>
    </row>
    <row r="9" spans="1:2">
      <c r="A9" s="30" t="s">
        <v>578</v>
      </c>
      <c r="B9" s="31">
        <v>5145784.5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B182-37DC-43C4-99A3-941D0C464A31}">
  <dimension ref="A3:B32"/>
  <sheetViews>
    <sheetView workbookViewId="0">
      <selection activeCell="C21" sqref="C21"/>
    </sheetView>
  </sheetViews>
  <sheetFormatPr defaultRowHeight="14.5"/>
  <cols>
    <col min="1" max="1" width="19.08984375" bestFit="1" customWidth="1"/>
    <col min="2" max="2" width="14.36328125" bestFit="1" customWidth="1"/>
  </cols>
  <sheetData>
    <row r="3" spans="1:2">
      <c r="A3" s="29" t="s">
        <v>584</v>
      </c>
      <c r="B3" t="s">
        <v>579</v>
      </c>
    </row>
    <row r="4" spans="1:2">
      <c r="A4" s="30" t="s">
        <v>366</v>
      </c>
      <c r="B4" s="31">
        <v>442924.2</v>
      </c>
    </row>
    <row r="5" spans="1:2">
      <c r="A5" s="30" t="s">
        <v>367</v>
      </c>
      <c r="B5" s="31">
        <v>460246</v>
      </c>
    </row>
    <row r="6" spans="1:2">
      <c r="A6" s="30" t="s">
        <v>368</v>
      </c>
      <c r="B6" s="31">
        <v>157939.20000000001</v>
      </c>
    </row>
    <row r="7" spans="1:2">
      <c r="A7" s="30" t="s">
        <v>371</v>
      </c>
      <c r="B7" s="31">
        <v>0</v>
      </c>
    </row>
    <row r="8" spans="1:2">
      <c r="A8" s="30" t="s">
        <v>372</v>
      </c>
      <c r="B8" s="31">
        <v>67413.5</v>
      </c>
    </row>
    <row r="9" spans="1:2">
      <c r="A9" s="30" t="s">
        <v>373</v>
      </c>
      <c r="B9" s="31">
        <v>112109.5</v>
      </c>
    </row>
    <row r="10" spans="1:2">
      <c r="A10" s="30" t="s">
        <v>374</v>
      </c>
      <c r="B10" s="31">
        <v>574610.4</v>
      </c>
    </row>
    <row r="11" spans="1:2">
      <c r="A11" s="30" t="s">
        <v>375</v>
      </c>
      <c r="B11" s="31">
        <v>0</v>
      </c>
    </row>
    <row r="12" spans="1:2">
      <c r="A12" s="30" t="s">
        <v>376</v>
      </c>
      <c r="B12" s="31">
        <v>53849.8</v>
      </c>
    </row>
    <row r="13" spans="1:2">
      <c r="A13" s="30" t="s">
        <v>377</v>
      </c>
      <c r="B13" s="31">
        <v>0</v>
      </c>
    </row>
    <row r="14" spans="1:2">
      <c r="A14" s="30" t="s">
        <v>378</v>
      </c>
      <c r="B14" s="31">
        <v>0</v>
      </c>
    </row>
    <row r="15" spans="1:2">
      <c r="A15" s="30" t="s">
        <v>379</v>
      </c>
      <c r="B15" s="31">
        <v>538498</v>
      </c>
    </row>
    <row r="16" spans="1:2">
      <c r="A16" s="30" t="s">
        <v>380</v>
      </c>
      <c r="B16" s="31">
        <v>0</v>
      </c>
    </row>
    <row r="17" spans="1:2">
      <c r="A17" s="30" t="s">
        <v>385</v>
      </c>
      <c r="B17" s="31">
        <v>248472.9</v>
      </c>
    </row>
    <row r="18" spans="1:2">
      <c r="A18" s="30" t="s">
        <v>388</v>
      </c>
      <c r="B18" s="31">
        <v>0</v>
      </c>
    </row>
    <row r="19" spans="1:2">
      <c r="A19" s="30" t="s">
        <v>389</v>
      </c>
      <c r="B19" s="31">
        <v>51272</v>
      </c>
    </row>
    <row r="20" spans="1:2">
      <c r="A20" s="30" t="s">
        <v>390</v>
      </c>
      <c r="B20" s="31">
        <v>48594.400000000001</v>
      </c>
    </row>
    <row r="21" spans="1:2">
      <c r="A21" s="30" t="s">
        <v>395</v>
      </c>
      <c r="B21" s="31">
        <v>768445.85</v>
      </c>
    </row>
    <row r="22" spans="1:2">
      <c r="A22" s="30" t="s">
        <v>396</v>
      </c>
      <c r="B22" s="31">
        <v>274946.75</v>
      </c>
    </row>
    <row r="23" spans="1:2">
      <c r="A23" s="30" t="s">
        <v>397</v>
      </c>
      <c r="B23" s="31">
        <v>51062.400000000001</v>
      </c>
    </row>
    <row r="24" spans="1:2">
      <c r="A24" s="30" t="s">
        <v>400</v>
      </c>
      <c r="B24" s="31">
        <v>8645.4</v>
      </c>
    </row>
    <row r="25" spans="1:2">
      <c r="A25" s="30" t="s">
        <v>403</v>
      </c>
      <c r="B25" s="31">
        <v>253880</v>
      </c>
    </row>
    <row r="26" spans="1:2">
      <c r="A26" s="30" t="s">
        <v>414</v>
      </c>
      <c r="B26" s="31">
        <v>0</v>
      </c>
    </row>
    <row r="27" spans="1:2">
      <c r="A27" s="30" t="s">
        <v>415</v>
      </c>
      <c r="B27" s="31">
        <v>74176</v>
      </c>
    </row>
    <row r="28" spans="1:2">
      <c r="A28" s="30" t="s">
        <v>416</v>
      </c>
      <c r="B28" s="31">
        <v>522883.2</v>
      </c>
    </row>
    <row r="29" spans="1:2">
      <c r="A29" s="30" t="s">
        <v>352</v>
      </c>
      <c r="B29" s="31">
        <v>0</v>
      </c>
    </row>
    <row r="30" spans="1:2">
      <c r="A30" s="30" t="s">
        <v>355</v>
      </c>
      <c r="B30" s="31">
        <v>413500</v>
      </c>
    </row>
    <row r="31" spans="1:2">
      <c r="A31" s="30" t="s">
        <v>360</v>
      </c>
      <c r="B31" s="31">
        <v>22315</v>
      </c>
    </row>
    <row r="32" spans="1:2">
      <c r="A32" s="30" t="s">
        <v>578</v>
      </c>
      <c r="B32" s="31">
        <v>5145784.5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7DB7-5E2F-4A1D-8FFE-127B4470BF95}">
  <dimension ref="A3:B9"/>
  <sheetViews>
    <sheetView workbookViewId="0">
      <selection activeCell="N15" sqref="N15"/>
    </sheetView>
  </sheetViews>
  <sheetFormatPr defaultRowHeight="14.5"/>
  <cols>
    <col min="1" max="1" width="12.54296875" bestFit="1" customWidth="1"/>
    <col min="2" max="2" width="14.36328125" bestFit="1" customWidth="1"/>
  </cols>
  <sheetData>
    <row r="3" spans="1:2">
      <c r="A3" s="29" t="s">
        <v>577</v>
      </c>
      <c r="B3" t="s">
        <v>579</v>
      </c>
    </row>
    <row r="4" spans="1:2">
      <c r="A4" s="30" t="s">
        <v>176</v>
      </c>
      <c r="B4" s="31">
        <v>270787.90000000002</v>
      </c>
    </row>
    <row r="5" spans="1:2">
      <c r="A5" s="30" t="s">
        <v>575</v>
      </c>
      <c r="B5" s="31">
        <v>762982.8</v>
      </c>
    </row>
    <row r="6" spans="1:2">
      <c r="A6" s="30" t="s">
        <v>165</v>
      </c>
      <c r="B6" s="31">
        <v>1926188.15</v>
      </c>
    </row>
    <row r="7" spans="1:2">
      <c r="A7" s="30" t="s">
        <v>194</v>
      </c>
      <c r="B7" s="31">
        <v>1230545.8999999999</v>
      </c>
    </row>
    <row r="8" spans="1:2">
      <c r="A8" s="30" t="s">
        <v>188</v>
      </c>
      <c r="B8" s="31">
        <v>955279.75</v>
      </c>
    </row>
    <row r="9" spans="1:2">
      <c r="A9" s="30" t="s">
        <v>578</v>
      </c>
      <c r="B9" s="31">
        <v>5145784.5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8B81-C00A-479B-A957-75220532471D}">
  <dimension ref="A3:H6"/>
  <sheetViews>
    <sheetView workbookViewId="0">
      <selection activeCell="I13" sqref="I13"/>
    </sheetView>
  </sheetViews>
  <sheetFormatPr defaultRowHeight="14.5"/>
  <cols>
    <col min="1" max="1" width="14.36328125" bestFit="1" customWidth="1"/>
    <col min="2" max="2" width="15.26953125" bestFit="1" customWidth="1"/>
    <col min="3" max="3" width="8.81640625" bestFit="1" customWidth="1"/>
    <col min="4" max="4" width="9.81640625" bestFit="1" customWidth="1"/>
    <col min="5" max="5" width="10.81640625" bestFit="1" customWidth="1"/>
    <col min="6" max="6" width="8.81640625" bestFit="1" customWidth="1"/>
    <col min="7" max="7" width="6.81640625" bestFit="1" customWidth="1"/>
    <col min="8" max="8" width="10.7265625" bestFit="1" customWidth="1"/>
    <col min="9" max="9" width="9.453125" bestFit="1" customWidth="1"/>
    <col min="10" max="10" width="8.453125" bestFit="1" customWidth="1"/>
    <col min="11" max="17" width="9.453125" bestFit="1" customWidth="1"/>
    <col min="18" max="20" width="8.453125" bestFit="1" customWidth="1"/>
    <col min="21" max="22" width="9.453125" bestFit="1" customWidth="1"/>
    <col min="23" max="23" width="9.81640625" bestFit="1" customWidth="1"/>
    <col min="24" max="24" width="8.81640625" bestFit="1" customWidth="1"/>
    <col min="25" max="27" width="8.453125" bestFit="1" customWidth="1"/>
    <col min="28" max="35" width="9.453125" bestFit="1" customWidth="1"/>
    <col min="36" max="36" width="9.81640625" bestFit="1" customWidth="1"/>
    <col min="37" max="37" width="9.453125" bestFit="1" customWidth="1"/>
    <col min="38" max="40" width="8.453125" bestFit="1" customWidth="1"/>
    <col min="41" max="42" width="8.81640625" bestFit="1" customWidth="1"/>
    <col min="43" max="47" width="9.453125" bestFit="1" customWidth="1"/>
    <col min="48" max="48" width="8.453125" bestFit="1" customWidth="1"/>
    <col min="49" max="49" width="9.453125" bestFit="1" customWidth="1"/>
    <col min="50" max="50" width="10.7265625" bestFit="1" customWidth="1"/>
  </cols>
  <sheetData>
    <row r="3" spans="1:8">
      <c r="B3" s="29" t="s">
        <v>586</v>
      </c>
    </row>
    <row r="4" spans="1:8">
      <c r="B4" t="s">
        <v>587</v>
      </c>
      <c r="C4" t="s">
        <v>588</v>
      </c>
      <c r="D4" t="s">
        <v>589</v>
      </c>
      <c r="E4" t="s">
        <v>590</v>
      </c>
      <c r="F4" t="s">
        <v>591</v>
      </c>
      <c r="G4" t="s">
        <v>592</v>
      </c>
      <c r="H4" t="s">
        <v>578</v>
      </c>
    </row>
    <row r="6" spans="1:8">
      <c r="A6" t="s">
        <v>579</v>
      </c>
      <c r="B6" s="31">
        <v>1147660</v>
      </c>
      <c r="C6" s="31">
        <v>357695.6</v>
      </c>
      <c r="D6" s="31">
        <v>274946.75</v>
      </c>
      <c r="E6" s="31">
        <v>1885449.85</v>
      </c>
      <c r="F6" s="31">
        <v>839578.3</v>
      </c>
      <c r="G6" s="31">
        <v>640454</v>
      </c>
      <c r="H6" s="31">
        <v>5145784.5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0203-EB60-4BE3-AE48-EB218CCA9695}">
  <dimension ref="A3:B9"/>
  <sheetViews>
    <sheetView topLeftCell="A2" workbookViewId="0">
      <selection activeCell="B21" sqref="B20:B21"/>
    </sheetView>
  </sheetViews>
  <sheetFormatPr defaultRowHeight="14.5"/>
  <cols>
    <col min="1" max="1" width="17.81640625" bestFit="1" customWidth="1"/>
    <col min="2" max="2" width="14.36328125" bestFit="1" customWidth="1"/>
  </cols>
  <sheetData>
    <row r="3" spans="1:2">
      <c r="A3" s="29" t="s">
        <v>577</v>
      </c>
      <c r="B3" t="s">
        <v>579</v>
      </c>
    </row>
    <row r="4" spans="1:2">
      <c r="A4" s="37" t="s">
        <v>300</v>
      </c>
      <c r="B4" s="36">
        <v>784564.2</v>
      </c>
    </row>
    <row r="5" spans="1:2">
      <c r="A5" s="37" t="s">
        <v>312</v>
      </c>
      <c r="B5" s="36">
        <v>592347.80000000005</v>
      </c>
    </row>
    <row r="6" spans="1:2">
      <c r="A6" s="37" t="s">
        <v>303</v>
      </c>
      <c r="B6" s="36">
        <v>561267.35</v>
      </c>
    </row>
    <row r="7" spans="1:2">
      <c r="A7" s="37" t="s">
        <v>271</v>
      </c>
      <c r="B7" s="36">
        <v>413500</v>
      </c>
    </row>
    <row r="8" spans="1:2">
      <c r="A8" s="37" t="s">
        <v>276</v>
      </c>
      <c r="B8" s="36">
        <v>404070</v>
      </c>
    </row>
    <row r="9" spans="1:2">
      <c r="A9" s="30" t="s">
        <v>578</v>
      </c>
      <c r="B9" s="31">
        <v>2755749.35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84C3-7677-4C9C-984E-46BA1E28B350}">
  <dimension ref="A1:Z35"/>
  <sheetViews>
    <sheetView tabSelected="1" zoomScale="60" workbookViewId="0">
      <selection activeCell="AE8" sqref="AE8"/>
    </sheetView>
  </sheetViews>
  <sheetFormatPr defaultRowHeight="14.5"/>
  <cols>
    <col min="1" max="1" width="20.90625" customWidth="1"/>
    <col min="2" max="2" width="19.26953125" customWidth="1"/>
    <col min="3" max="3" width="34.08984375" bestFit="1" customWidth="1"/>
    <col min="4" max="4" width="32" bestFit="1" customWidth="1"/>
    <col min="5" max="5" width="17.453125" customWidth="1"/>
    <col min="6" max="6" width="21.90625" bestFit="1" customWidth="1"/>
    <col min="8" max="8" width="10.90625" bestFit="1" customWidth="1"/>
    <col min="22" max="22" width="16.36328125" bestFit="1" customWidth="1"/>
    <col min="23" max="23" width="18.26953125" bestFit="1" customWidth="1"/>
    <col min="24" max="24" width="8.7265625" customWidth="1"/>
    <col min="25" max="25" width="26.08984375" bestFit="1" customWidth="1"/>
    <col min="26" max="26" width="17.453125" bestFit="1" customWidth="1"/>
  </cols>
  <sheetData>
    <row r="1" spans="1:26">
      <c r="A1" s="49"/>
      <c r="B1" s="49"/>
      <c r="C1" s="49"/>
      <c r="D1" s="58" t="s">
        <v>628</v>
      </c>
      <c r="E1" s="59"/>
      <c r="F1" s="59"/>
      <c r="G1" s="59"/>
      <c r="H1" s="59"/>
      <c r="I1" s="59"/>
      <c r="J1" s="59"/>
      <c r="K1" s="49"/>
      <c r="L1" s="49"/>
      <c r="M1" s="49"/>
      <c r="N1" s="49"/>
      <c r="O1" s="49"/>
      <c r="P1" s="49"/>
      <c r="Q1" s="49"/>
      <c r="R1" s="49"/>
      <c r="S1" s="49"/>
      <c r="T1" s="49"/>
      <c r="U1" s="49"/>
      <c r="V1" s="49"/>
      <c r="W1" s="49"/>
      <c r="X1" s="49"/>
      <c r="Y1" s="49"/>
      <c r="Z1" s="49"/>
    </row>
    <row r="2" spans="1:26">
      <c r="A2" s="49"/>
      <c r="B2" s="49"/>
      <c r="C2" s="49"/>
      <c r="D2" s="59"/>
      <c r="E2" s="59"/>
      <c r="F2" s="59"/>
      <c r="G2" s="59"/>
      <c r="H2" s="59"/>
      <c r="I2" s="59"/>
      <c r="J2" s="59"/>
      <c r="K2" s="49"/>
      <c r="L2" s="49"/>
      <c r="M2" s="49"/>
      <c r="N2" s="49"/>
      <c r="O2" s="49"/>
      <c r="P2" s="49"/>
      <c r="Q2" s="49"/>
      <c r="R2" s="49"/>
      <c r="S2" s="49"/>
      <c r="T2" s="49"/>
      <c r="U2" s="49"/>
      <c r="V2" s="49"/>
      <c r="W2" s="49"/>
      <c r="X2" s="49"/>
      <c r="Y2" s="49"/>
      <c r="Z2" s="49"/>
    </row>
    <row r="3" spans="1:26">
      <c r="A3" s="49"/>
      <c r="B3" s="49"/>
      <c r="C3" s="49"/>
      <c r="D3" s="49"/>
      <c r="E3" s="49"/>
      <c r="F3" s="49"/>
      <c r="G3" s="49"/>
      <c r="H3" s="49"/>
      <c r="I3" s="49"/>
      <c r="J3" s="49"/>
      <c r="K3" s="49"/>
      <c r="L3" s="49"/>
      <c r="M3" s="49"/>
      <c r="N3" s="49"/>
      <c r="O3" s="49"/>
      <c r="P3" s="49"/>
      <c r="Q3" s="49"/>
      <c r="R3" s="49"/>
      <c r="S3" s="49"/>
      <c r="T3" s="49"/>
      <c r="U3" s="49"/>
      <c r="V3" s="49"/>
      <c r="W3" s="49"/>
      <c r="X3" s="49"/>
      <c r="Y3" s="49"/>
      <c r="Z3" s="49"/>
    </row>
    <row r="4" spans="1:26">
      <c r="A4" s="50" t="s">
        <v>596</v>
      </c>
      <c r="B4" s="50" t="s">
        <v>597</v>
      </c>
      <c r="C4" s="50" t="s">
        <v>598</v>
      </c>
      <c r="D4" s="50" t="s">
        <v>599</v>
      </c>
      <c r="E4" s="50" t="s">
        <v>600</v>
      </c>
      <c r="F4" s="49"/>
      <c r="G4" s="49"/>
      <c r="H4" s="49"/>
      <c r="I4" s="49"/>
      <c r="J4" s="49"/>
      <c r="K4" s="49"/>
      <c r="L4" s="49"/>
      <c r="M4" s="49"/>
      <c r="N4" s="49"/>
      <c r="O4" s="49"/>
      <c r="P4" s="49"/>
      <c r="Q4" s="49"/>
      <c r="R4" s="49"/>
      <c r="S4" s="49"/>
      <c r="T4" s="49"/>
      <c r="U4" s="49"/>
      <c r="V4" s="49" t="s">
        <v>612</v>
      </c>
      <c r="W4" s="49" t="s">
        <v>613</v>
      </c>
      <c r="X4" s="49"/>
      <c r="Y4" s="49" t="s">
        <v>615</v>
      </c>
      <c r="Z4" s="49" t="s">
        <v>8</v>
      </c>
    </row>
    <row r="5" spans="1:26">
      <c r="A5" s="51">
        <f>SUM(Sales!I2:I51)</f>
        <v>5145784.5</v>
      </c>
      <c r="B5" s="51">
        <f>SUMIF(Sales!F2:F51,"Won", Sales!I2:I51)</f>
        <v>5145784.5</v>
      </c>
      <c r="C5" s="50">
        <f>COUNTA(Sales!A2:A51)</f>
        <v>50</v>
      </c>
      <c r="D5" s="50">
        <f>COUNTIF(Sales!F2:F51, "Won")</f>
        <v>29</v>
      </c>
      <c r="E5" s="52">
        <f>COUNTIF(Sales!F2:F51,"Won")/COUNTA(Sales!A2:A51)</f>
        <v>0.57999999999999996</v>
      </c>
      <c r="F5" s="49"/>
      <c r="G5" s="49"/>
      <c r="H5" s="49"/>
      <c r="I5" s="49"/>
      <c r="J5" s="49"/>
      <c r="K5" s="49"/>
      <c r="L5" s="49"/>
      <c r="M5" s="49"/>
      <c r="N5" s="49"/>
      <c r="O5" s="49"/>
      <c r="P5" s="49"/>
      <c r="Q5" s="49"/>
      <c r="R5" s="49"/>
      <c r="S5" s="49"/>
      <c r="T5" s="49"/>
      <c r="U5" s="49"/>
      <c r="V5" s="49" t="s">
        <v>343</v>
      </c>
      <c r="W5" s="49">
        <f>SUMIF(Sales!K2:K50, V5, Sales!I2:I50)</f>
        <v>1194843.95</v>
      </c>
      <c r="X5" s="49"/>
      <c r="Y5" s="53" t="s">
        <v>298</v>
      </c>
      <c r="Z5" s="54">
        <f>SUMIF(Sales!N26:N75,Y5,Sales!I26:I75)</f>
        <v>538498</v>
      </c>
    </row>
    <row r="6" spans="1:26">
      <c r="A6" s="55"/>
      <c r="B6" s="55"/>
      <c r="C6" s="50"/>
      <c r="D6" s="50"/>
      <c r="E6" s="50"/>
      <c r="F6" s="49"/>
      <c r="G6" s="49"/>
      <c r="H6" s="49"/>
      <c r="I6" s="49"/>
      <c r="J6" s="49"/>
      <c r="K6" s="49"/>
      <c r="L6" s="49"/>
      <c r="M6" s="49"/>
      <c r="N6" s="49"/>
      <c r="O6" s="49"/>
      <c r="P6" s="49"/>
      <c r="Q6" s="49"/>
      <c r="R6" s="49"/>
      <c r="S6" s="49"/>
      <c r="T6" s="49"/>
      <c r="U6" s="49"/>
      <c r="V6" s="49" t="s">
        <v>614</v>
      </c>
      <c r="W6" s="49">
        <f>SUMIF(Sales!K2:K51, V6, Sales!I2:I51)</f>
        <v>0</v>
      </c>
      <c r="X6" s="49"/>
      <c r="Y6" s="53" t="s">
        <v>285</v>
      </c>
      <c r="Z6" s="54">
        <f>SUMIF(Sales!N3:N52,Y6,Sales!I3:I52)</f>
        <v>417452</v>
      </c>
    </row>
    <row r="7" spans="1:26">
      <c r="A7" s="55"/>
      <c r="B7" s="55"/>
      <c r="C7" s="50"/>
      <c r="D7" s="50"/>
      <c r="E7" s="50"/>
      <c r="F7" s="49"/>
      <c r="G7" s="49"/>
      <c r="H7" s="49"/>
      <c r="I7" s="49"/>
      <c r="J7" s="49"/>
      <c r="K7" s="49"/>
      <c r="L7" s="49"/>
      <c r="M7" s="49"/>
      <c r="N7" s="49"/>
      <c r="O7" s="49"/>
      <c r="P7" s="49"/>
      <c r="Q7" s="49"/>
      <c r="R7" s="49"/>
      <c r="S7" s="49"/>
      <c r="T7" s="49"/>
      <c r="U7" s="49"/>
      <c r="V7" s="49" t="s">
        <v>338</v>
      </c>
      <c r="W7" s="49">
        <f>SUMIF(Sales!K3:K52, V7, Sales!I3:I52)</f>
        <v>1216884.05</v>
      </c>
      <c r="X7" s="49"/>
      <c r="Y7" s="53" t="s">
        <v>271</v>
      </c>
      <c r="Z7" s="56">
        <f>SUMIF(Sales!N2:N51,Y7,Sales!I2:I51)</f>
        <v>209953.8</v>
      </c>
    </row>
    <row r="8" spans="1:26">
      <c r="A8" s="50" t="s">
        <v>606</v>
      </c>
      <c r="B8" s="50" t="s">
        <v>350</v>
      </c>
      <c r="C8" s="50" t="s">
        <v>607</v>
      </c>
      <c r="D8" s="50" t="s">
        <v>610</v>
      </c>
      <c r="E8" s="50"/>
      <c r="F8" s="49"/>
      <c r="G8" s="49"/>
      <c r="H8" s="49"/>
      <c r="I8" s="49"/>
      <c r="J8" s="49"/>
      <c r="K8" s="49"/>
      <c r="L8" s="49"/>
      <c r="M8" s="49"/>
      <c r="N8" s="49"/>
      <c r="O8" s="49"/>
      <c r="P8" s="49"/>
      <c r="Q8" s="49"/>
      <c r="R8" s="49"/>
      <c r="S8" s="49"/>
      <c r="T8" s="49"/>
      <c r="U8" s="49"/>
      <c r="V8" s="49" t="s">
        <v>363</v>
      </c>
      <c r="W8" s="49">
        <f>SUMIF(Sales!K4:K53, V8, Sales!I4:I53)</f>
        <v>830684.2</v>
      </c>
      <c r="X8" s="49"/>
      <c r="Y8" s="53" t="s">
        <v>277</v>
      </c>
      <c r="Z8" s="54">
        <f>SUMIF(Sales!N9:N58,Y8,Sales!I9:I58)</f>
        <v>157939.20000000001</v>
      </c>
    </row>
    <row r="9" spans="1:26">
      <c r="A9" s="50"/>
      <c r="B9" s="50"/>
      <c r="C9" s="50">
        <f>SUMIFS(Sales!I2:I50,Sales!F2:F50,"Won",Sales!K2:K50,B8)</f>
        <v>625437.6</v>
      </c>
      <c r="D9" s="55" cm="1">
        <f t="array" ref="D9">SUMPRODUCT((Sales!F2:F50="Won")*(Sales!K2:K50=B8)*Sales!I2:I50)</f>
        <v>625437.6</v>
      </c>
      <c r="E9" s="50"/>
      <c r="F9" s="49"/>
      <c r="G9" s="49"/>
      <c r="H9" s="49"/>
      <c r="I9" s="49"/>
      <c r="J9" s="49"/>
      <c r="K9" s="49"/>
      <c r="L9" s="49"/>
      <c r="M9" s="49"/>
      <c r="N9" s="49"/>
      <c r="O9" s="49"/>
      <c r="P9" s="49"/>
      <c r="Q9" s="49"/>
      <c r="R9" s="49"/>
      <c r="S9" s="49"/>
      <c r="T9" s="49"/>
      <c r="U9" s="49"/>
      <c r="V9" s="49"/>
      <c r="W9" s="49"/>
      <c r="X9" s="49"/>
      <c r="Y9" s="53" t="s">
        <v>287</v>
      </c>
      <c r="Z9" s="54">
        <f>SUMIF(Sales!N7:N56,Y9,Sales!I7:I56)</f>
        <v>157158.39999999999</v>
      </c>
    </row>
    <row r="10" spans="1:26">
      <c r="A10" s="55"/>
      <c r="B10" s="55"/>
      <c r="C10" s="55"/>
      <c r="D10" s="55"/>
      <c r="E10" s="55"/>
      <c r="F10" s="49"/>
      <c r="G10" s="49"/>
      <c r="H10" s="49"/>
      <c r="I10" s="49"/>
      <c r="J10" s="49"/>
      <c r="K10" s="49"/>
      <c r="L10" s="49"/>
      <c r="M10" s="49"/>
      <c r="N10" s="49"/>
      <c r="O10" s="49"/>
      <c r="P10" s="49"/>
      <c r="Q10" s="49"/>
      <c r="R10" s="49"/>
      <c r="S10" s="49"/>
      <c r="T10" s="49"/>
      <c r="U10" s="49"/>
      <c r="V10" s="49"/>
      <c r="W10" s="49"/>
      <c r="X10" s="49"/>
      <c r="Y10" s="53" t="s">
        <v>281</v>
      </c>
      <c r="Z10" s="54">
        <f>SUMIF(Sales!N4:N53,Y10,Sales!I4:I53)</f>
        <v>112109.5</v>
      </c>
    </row>
    <row r="11" spans="1:26">
      <c r="A11" s="55"/>
      <c r="B11" s="55"/>
      <c r="C11" s="55"/>
      <c r="D11" s="55"/>
      <c r="E11" s="55"/>
      <c r="F11" s="49"/>
      <c r="G11" s="49"/>
      <c r="H11" s="49"/>
      <c r="I11" s="49"/>
      <c r="J11" s="49"/>
      <c r="K11" s="49"/>
      <c r="L11" s="49"/>
      <c r="M11" s="49"/>
      <c r="N11" s="49"/>
      <c r="O11" s="49"/>
      <c r="P11" s="49"/>
      <c r="Q11" s="49"/>
      <c r="R11" s="49"/>
      <c r="S11" s="49"/>
      <c r="T11" s="49"/>
      <c r="U11" s="49"/>
      <c r="V11" s="49"/>
      <c r="W11" s="49"/>
      <c r="X11" s="49"/>
      <c r="Y11" s="53" t="s">
        <v>272</v>
      </c>
      <c r="Z11" s="54">
        <f>SUMIF(Sales!N15:N64,Y11,Sales!I15:I64)</f>
        <v>104018.4</v>
      </c>
    </row>
    <row r="12" spans="1:26">
      <c r="A12" s="55"/>
      <c r="B12" s="55"/>
      <c r="C12" s="55"/>
      <c r="D12" s="55"/>
      <c r="E12" s="55"/>
      <c r="F12" s="49"/>
      <c r="G12" s="49"/>
      <c r="H12" s="49"/>
      <c r="I12" s="49"/>
      <c r="J12" s="49"/>
      <c r="K12" s="49"/>
      <c r="L12" s="49"/>
      <c r="M12" s="49"/>
      <c r="N12" s="49"/>
      <c r="O12" s="49"/>
      <c r="P12" s="49"/>
      <c r="Q12" s="49"/>
      <c r="R12" s="49"/>
      <c r="S12" s="49"/>
      <c r="T12" s="49"/>
      <c r="U12" s="49"/>
      <c r="V12" s="49"/>
      <c r="W12" s="49"/>
      <c r="X12" s="49"/>
      <c r="Y12" s="53" t="s">
        <v>267</v>
      </c>
      <c r="Z12" s="54">
        <f>SUMIF(Sales!N13:N62,Y12,Sales!I13:I62)</f>
        <v>74518</v>
      </c>
    </row>
    <row r="13" spans="1:26">
      <c r="A13" s="55" t="s">
        <v>611</v>
      </c>
      <c r="B13" s="55">
        <v>2</v>
      </c>
      <c r="C13" s="55">
        <f>LARGE(pivot6!B4:B8,B13)</f>
        <v>592347.80000000005</v>
      </c>
      <c r="D13" s="55"/>
      <c r="E13" s="55"/>
      <c r="F13" s="49"/>
      <c r="G13" s="49"/>
      <c r="H13" s="49"/>
      <c r="I13" s="49"/>
      <c r="J13" s="49"/>
      <c r="K13" s="49"/>
      <c r="L13" s="49"/>
      <c r="M13" s="49"/>
      <c r="N13" s="49"/>
      <c r="O13" s="49"/>
      <c r="P13" s="49"/>
      <c r="Q13" s="49"/>
      <c r="R13" s="49"/>
      <c r="S13" s="49"/>
      <c r="T13" s="49"/>
      <c r="U13" s="49"/>
      <c r="V13" s="49"/>
      <c r="W13" s="49"/>
      <c r="X13" s="49"/>
      <c r="Y13" s="53" t="s">
        <v>279</v>
      </c>
      <c r="Z13" s="54">
        <f>SUMIF(Sales!N19:N68,Y13,Sales!I19:I68)</f>
        <v>67413.5</v>
      </c>
    </row>
    <row r="14" spans="1:26">
      <c r="A14" s="55"/>
      <c r="B14" s="55"/>
      <c r="C14" s="55"/>
      <c r="D14" s="55"/>
      <c r="E14" s="57"/>
      <c r="F14" s="49"/>
      <c r="G14" s="49"/>
      <c r="H14" s="49"/>
      <c r="I14" s="49"/>
      <c r="J14" s="49"/>
      <c r="K14" s="49"/>
      <c r="L14" s="49"/>
      <c r="M14" s="49"/>
      <c r="N14" s="49"/>
      <c r="O14" s="49"/>
      <c r="P14" s="49"/>
      <c r="Q14" s="49"/>
      <c r="R14" s="49"/>
      <c r="S14" s="49"/>
      <c r="T14" s="49"/>
      <c r="U14" s="49"/>
      <c r="V14" s="49"/>
      <c r="W14" s="49"/>
      <c r="X14" s="49"/>
      <c r="Y14" s="53" t="s">
        <v>270</v>
      </c>
      <c r="Z14" s="54">
        <f>SUMIF(Sales!N14:N63,Y14,Sales!I14:I63)</f>
        <v>54434</v>
      </c>
    </row>
    <row r="15" spans="1:26">
      <c r="A15" s="55"/>
      <c r="B15" s="55"/>
      <c r="C15" s="55"/>
      <c r="D15" s="55"/>
      <c r="E15" s="55"/>
      <c r="F15" s="49"/>
      <c r="G15" s="49"/>
      <c r="H15" s="49"/>
      <c r="I15" s="49"/>
      <c r="J15" s="49"/>
      <c r="K15" s="49"/>
      <c r="L15" s="49"/>
      <c r="M15" s="49"/>
      <c r="N15" s="49"/>
      <c r="O15" s="49"/>
      <c r="P15" s="49"/>
      <c r="Q15" s="49"/>
      <c r="R15" s="49"/>
      <c r="S15" s="49"/>
      <c r="T15" s="49"/>
      <c r="U15" s="49"/>
      <c r="V15" s="49"/>
      <c r="W15" s="49"/>
      <c r="X15" s="49"/>
      <c r="Y15" s="53" t="s">
        <v>292</v>
      </c>
      <c r="Z15" s="54">
        <f>SUMIF(Sales!N6:N55,Y15,Sales!I6:I55)</f>
        <v>53849.8</v>
      </c>
    </row>
    <row r="16" spans="1:26">
      <c r="A16" s="55"/>
      <c r="B16" s="55"/>
      <c r="C16" s="55"/>
      <c r="D16" s="55"/>
      <c r="E16" s="55"/>
      <c r="F16" s="49"/>
      <c r="G16" s="49"/>
      <c r="H16" s="49"/>
      <c r="I16" s="49"/>
      <c r="J16" s="49"/>
      <c r="K16" s="49"/>
      <c r="L16" s="49"/>
      <c r="M16" s="49"/>
      <c r="N16" s="49"/>
      <c r="O16" s="49"/>
      <c r="P16" s="49"/>
      <c r="Q16" s="49"/>
      <c r="R16" s="49"/>
      <c r="S16" s="49"/>
      <c r="T16" s="49"/>
      <c r="U16" s="49"/>
      <c r="V16" s="49"/>
      <c r="W16" s="49"/>
      <c r="X16" s="49"/>
      <c r="Y16" s="53" t="s">
        <v>305</v>
      </c>
      <c r="Z16" s="54">
        <f>SUMIF(Sales!N30:N79,Y16,Sales!I30:I79)</f>
        <v>51272</v>
      </c>
    </row>
    <row r="17" spans="1:26">
      <c r="A17" s="55"/>
      <c r="B17" s="55"/>
      <c r="C17" s="55"/>
      <c r="D17" s="55"/>
      <c r="E17" s="55"/>
      <c r="F17" s="49"/>
      <c r="G17" s="49"/>
      <c r="H17" s="49"/>
      <c r="I17" s="49"/>
      <c r="J17" s="49"/>
      <c r="K17" s="49"/>
      <c r="L17" s="49"/>
      <c r="M17" s="49"/>
      <c r="N17" s="49"/>
      <c r="O17" s="49"/>
      <c r="P17" s="49"/>
      <c r="Q17" s="49"/>
      <c r="R17" s="49"/>
      <c r="S17" s="49"/>
      <c r="T17" s="49"/>
      <c r="U17" s="49"/>
      <c r="V17" s="49"/>
      <c r="W17" s="49"/>
      <c r="X17" s="49"/>
      <c r="Y17" s="53" t="s">
        <v>306</v>
      </c>
      <c r="Z17" s="54">
        <f>SUMIF(Sales!N31:N80,Y17,Sales!I31:I80)</f>
        <v>48594.400000000001</v>
      </c>
    </row>
    <row r="18" spans="1:26">
      <c r="A18" s="49"/>
      <c r="B18" s="49"/>
      <c r="C18" s="49"/>
      <c r="D18" s="49"/>
      <c r="E18" s="49"/>
      <c r="F18" s="49"/>
      <c r="G18" s="49"/>
      <c r="H18" s="49"/>
      <c r="I18" s="49"/>
      <c r="J18" s="49"/>
      <c r="K18" s="49"/>
      <c r="L18" s="49"/>
      <c r="M18" s="49"/>
      <c r="N18" s="49"/>
      <c r="O18" s="49"/>
      <c r="P18" s="49"/>
      <c r="Q18" s="49"/>
      <c r="R18" s="49"/>
      <c r="S18" s="49"/>
      <c r="T18" s="49"/>
      <c r="U18" s="49"/>
      <c r="V18" s="49"/>
      <c r="W18" s="49"/>
      <c r="X18" s="49"/>
      <c r="Y18" s="53" t="s">
        <v>264</v>
      </c>
      <c r="Z18" s="54">
        <f>SUMIF(Sales!N5:N54,Y18,Sales!I5:I54)</f>
        <v>22315</v>
      </c>
    </row>
    <row r="19" spans="1:26">
      <c r="A19" s="49"/>
      <c r="B19" s="49"/>
      <c r="C19" s="49"/>
      <c r="D19" s="49"/>
      <c r="E19" s="49"/>
      <c r="F19" s="49"/>
      <c r="G19" s="49"/>
      <c r="H19" s="49"/>
      <c r="I19" s="49"/>
      <c r="J19" s="49"/>
      <c r="K19" s="49"/>
      <c r="L19" s="49"/>
      <c r="M19" s="49"/>
      <c r="N19" s="49"/>
      <c r="O19" s="49"/>
      <c r="P19" s="49"/>
      <c r="Q19" s="49"/>
      <c r="R19" s="49"/>
      <c r="S19" s="49"/>
      <c r="T19" s="49"/>
      <c r="U19" s="49"/>
      <c r="V19" s="49"/>
      <c r="W19" s="49"/>
      <c r="X19" s="49"/>
      <c r="Y19" s="53" t="s">
        <v>300</v>
      </c>
      <c r="Z19" s="54">
        <f>SUMIF(Sales!N2:N50,Y19,Sales!I2:I50)</f>
        <v>0</v>
      </c>
    </row>
    <row r="20" spans="1:26">
      <c r="A20" s="49"/>
      <c r="B20" s="49"/>
      <c r="C20" s="49"/>
      <c r="D20" s="49"/>
      <c r="E20" s="49"/>
      <c r="F20" s="49"/>
      <c r="G20" s="49"/>
      <c r="H20" s="49"/>
      <c r="I20" s="49"/>
      <c r="J20" s="49"/>
      <c r="K20" s="49"/>
      <c r="L20" s="49"/>
      <c r="M20" s="49"/>
      <c r="N20" s="49"/>
      <c r="O20" s="49"/>
      <c r="P20" s="49"/>
      <c r="Q20" s="49"/>
      <c r="R20" s="49"/>
      <c r="S20" s="49"/>
      <c r="T20" s="49"/>
      <c r="U20" s="49"/>
      <c r="V20" s="49"/>
      <c r="W20" s="49"/>
      <c r="X20" s="49"/>
      <c r="Y20" s="53" t="s">
        <v>301</v>
      </c>
      <c r="Z20" s="54">
        <f>SUMIF(Sales!N8:N57,Y20,Sales!I8:I57)</f>
        <v>0</v>
      </c>
    </row>
    <row r="21" spans="1:26">
      <c r="A21" s="49"/>
      <c r="B21" s="49"/>
      <c r="C21" s="49"/>
      <c r="D21" s="49"/>
      <c r="E21" s="49"/>
      <c r="F21" s="49"/>
      <c r="G21" s="49"/>
      <c r="H21" s="49"/>
      <c r="I21" s="49"/>
      <c r="J21" s="49"/>
      <c r="K21" s="49"/>
      <c r="L21" s="49"/>
      <c r="M21" s="49"/>
      <c r="N21" s="49"/>
      <c r="O21" s="49"/>
      <c r="P21" s="49"/>
      <c r="Q21" s="49"/>
      <c r="R21" s="49"/>
      <c r="S21" s="49"/>
      <c r="T21" s="49"/>
      <c r="U21" s="49"/>
      <c r="V21" s="49"/>
      <c r="W21" s="49"/>
      <c r="X21" s="49"/>
      <c r="Y21" s="53" t="s">
        <v>259</v>
      </c>
      <c r="Z21" s="54">
        <f>SUMIF(Sales!N10:N59,Y21,Sales!I10:I59)</f>
        <v>0</v>
      </c>
    </row>
    <row r="22" spans="1:26">
      <c r="A22" s="49"/>
      <c r="B22" s="49"/>
      <c r="C22" s="49"/>
      <c r="D22" s="49"/>
      <c r="E22" s="49"/>
      <c r="F22" s="49"/>
      <c r="G22" s="49"/>
      <c r="H22" s="49"/>
      <c r="I22" s="49"/>
      <c r="J22" s="49"/>
      <c r="K22" s="49"/>
      <c r="L22" s="49"/>
      <c r="M22" s="49"/>
      <c r="N22" s="49"/>
      <c r="O22" s="49"/>
      <c r="P22" s="49"/>
      <c r="Q22" s="49"/>
      <c r="R22" s="49"/>
      <c r="S22" s="49"/>
      <c r="T22" s="49"/>
      <c r="U22" s="49"/>
      <c r="V22" s="49"/>
      <c r="W22" s="49"/>
      <c r="X22" s="49"/>
      <c r="Y22" s="53" t="s">
        <v>261</v>
      </c>
      <c r="Z22" s="54">
        <f>SUMIF(Sales!N11:N60,Y22,Sales!I11:I60)</f>
        <v>0</v>
      </c>
    </row>
    <row r="23" spans="1:26">
      <c r="A23" s="49"/>
      <c r="B23" s="49"/>
      <c r="C23" s="49"/>
      <c r="D23" s="49"/>
      <c r="E23" s="49"/>
      <c r="F23" s="49"/>
      <c r="G23" s="49"/>
      <c r="H23" s="49"/>
      <c r="I23" s="49"/>
      <c r="J23" s="49"/>
      <c r="K23" s="49"/>
      <c r="L23" s="49"/>
      <c r="M23" s="49"/>
      <c r="N23" s="49"/>
      <c r="O23" s="49"/>
      <c r="P23" s="49"/>
      <c r="Q23" s="49"/>
      <c r="R23" s="49"/>
      <c r="S23" s="49"/>
      <c r="T23" s="49"/>
      <c r="U23" s="49"/>
      <c r="V23" s="49"/>
      <c r="W23" s="49"/>
      <c r="X23" s="49"/>
      <c r="Y23" s="53" t="s">
        <v>262</v>
      </c>
      <c r="Z23" s="54">
        <f>SUMIF(Sales!N12:N61,Y23,Sales!I12:I61)</f>
        <v>0</v>
      </c>
    </row>
    <row r="24" spans="1:26">
      <c r="A24" s="49"/>
      <c r="B24" s="49"/>
      <c r="C24" s="49"/>
      <c r="D24" s="49"/>
      <c r="E24" s="49"/>
      <c r="F24" s="49"/>
      <c r="G24" s="49"/>
      <c r="H24" s="49"/>
      <c r="I24" s="49"/>
      <c r="J24" s="49"/>
      <c r="K24" s="49"/>
      <c r="L24" s="49"/>
      <c r="M24" s="49"/>
      <c r="N24" s="49"/>
      <c r="O24" s="49"/>
      <c r="P24" s="49"/>
      <c r="Q24" s="49"/>
      <c r="R24" s="49"/>
      <c r="S24" s="49"/>
      <c r="T24" s="49"/>
      <c r="U24" s="49"/>
      <c r="V24" s="49"/>
      <c r="W24" s="49"/>
      <c r="X24" s="49"/>
      <c r="Y24" s="53" t="s">
        <v>275</v>
      </c>
      <c r="Z24" s="54">
        <f>SUMIF(Sales!N16:N65,Y24,Sales!I16:I65)</f>
        <v>56176</v>
      </c>
    </row>
    <row r="25" spans="1:26">
      <c r="A25" s="49"/>
      <c r="B25" s="49"/>
      <c r="C25" s="49"/>
      <c r="D25" s="49"/>
      <c r="E25" s="49"/>
      <c r="F25" s="49"/>
      <c r="G25" s="49"/>
      <c r="H25" s="49"/>
      <c r="I25" s="49"/>
      <c r="J25" s="49"/>
      <c r="K25" s="49"/>
      <c r="L25" s="49"/>
      <c r="M25" s="49"/>
      <c r="N25" s="49"/>
      <c r="O25" s="49"/>
      <c r="P25" s="49"/>
      <c r="Q25" s="49"/>
      <c r="R25" s="49"/>
      <c r="S25" s="49"/>
      <c r="T25" s="49"/>
      <c r="U25" s="49"/>
      <c r="V25" s="49"/>
      <c r="W25" s="49"/>
      <c r="X25" s="49"/>
      <c r="Y25" s="53" t="s">
        <v>276</v>
      </c>
      <c r="Z25" s="54">
        <f>SUMIF(Sales!N17:N66,Y25,Sales!I17:I66)</f>
        <v>0</v>
      </c>
    </row>
    <row r="26" spans="1:26">
      <c r="A26" s="49"/>
      <c r="B26" s="49"/>
      <c r="C26" s="49"/>
      <c r="D26" s="49"/>
      <c r="E26" s="49"/>
      <c r="F26" s="49"/>
      <c r="G26" s="49"/>
      <c r="H26" s="49"/>
      <c r="I26" s="49"/>
      <c r="J26" s="49"/>
      <c r="K26" s="49"/>
      <c r="L26" s="49"/>
      <c r="M26" s="49"/>
      <c r="N26" s="49"/>
      <c r="O26" s="49"/>
      <c r="P26" s="49"/>
      <c r="Q26" s="49"/>
      <c r="R26" s="49"/>
      <c r="S26" s="49"/>
      <c r="T26" s="49"/>
      <c r="U26" s="49"/>
      <c r="V26" s="49"/>
      <c r="W26" s="49"/>
      <c r="X26" s="49"/>
      <c r="Y26" s="53" t="s">
        <v>278</v>
      </c>
      <c r="Z26" s="54">
        <f>SUMIF(Sales!N18:N67,Y26,Sales!I18:I67)</f>
        <v>0</v>
      </c>
    </row>
    <row r="27" spans="1:26">
      <c r="A27" s="49"/>
      <c r="B27" s="49"/>
      <c r="C27" s="49"/>
      <c r="D27" s="49"/>
      <c r="E27" s="49"/>
      <c r="F27" s="49"/>
      <c r="G27" s="49"/>
      <c r="H27" s="49"/>
      <c r="I27" s="49"/>
      <c r="J27" s="49"/>
      <c r="K27" s="49"/>
      <c r="L27" s="49"/>
      <c r="M27" s="49"/>
      <c r="N27" s="49"/>
      <c r="O27" s="49"/>
      <c r="P27" s="49"/>
      <c r="Q27" s="49"/>
      <c r="R27" s="49"/>
      <c r="S27" s="49"/>
      <c r="T27" s="49"/>
      <c r="U27" s="49"/>
      <c r="V27" s="49"/>
      <c r="W27" s="49"/>
      <c r="X27" s="49"/>
      <c r="Y27" s="53" t="s">
        <v>283</v>
      </c>
      <c r="Z27" s="54">
        <f>SUMIF(Sales!N20:N69,Y27,Sales!I20:I69)</f>
        <v>0</v>
      </c>
    </row>
    <row r="28" spans="1:26">
      <c r="A28" s="49"/>
      <c r="B28" s="49"/>
      <c r="C28" s="49"/>
      <c r="D28" s="49"/>
      <c r="E28" s="49"/>
      <c r="F28" s="49"/>
      <c r="G28" s="49"/>
      <c r="H28" s="49"/>
      <c r="I28" s="49"/>
      <c r="J28" s="49"/>
      <c r="K28" s="49"/>
      <c r="L28" s="49"/>
      <c r="M28" s="49"/>
      <c r="N28" s="49"/>
      <c r="O28" s="49"/>
      <c r="P28" s="49"/>
      <c r="Q28" s="49"/>
      <c r="R28" s="49"/>
      <c r="S28" s="49"/>
      <c r="T28" s="49"/>
      <c r="U28" s="49"/>
      <c r="V28" s="49"/>
      <c r="W28" s="49"/>
      <c r="X28" s="49"/>
      <c r="Y28" s="53" t="s">
        <v>289</v>
      </c>
      <c r="Z28" s="54">
        <f>SUMIF(Sales!N21:N70,Y28,Sales!I21:I70)</f>
        <v>0</v>
      </c>
    </row>
    <row r="29" spans="1:26">
      <c r="A29" s="49"/>
      <c r="B29" s="49"/>
      <c r="C29" s="49"/>
      <c r="D29" s="49"/>
      <c r="E29" s="49"/>
      <c r="F29" s="49"/>
      <c r="G29" s="49"/>
      <c r="H29" s="49"/>
      <c r="I29" s="49"/>
      <c r="J29" s="49"/>
      <c r="K29" s="49"/>
      <c r="L29" s="49"/>
      <c r="M29" s="49"/>
      <c r="N29" s="49"/>
      <c r="O29" s="49"/>
      <c r="P29" s="49"/>
      <c r="Q29" s="49"/>
      <c r="R29" s="49"/>
      <c r="S29" s="49"/>
      <c r="T29" s="49"/>
      <c r="U29" s="49"/>
      <c r="V29" s="49"/>
      <c r="W29" s="49"/>
      <c r="X29" s="49"/>
      <c r="Y29" s="53" t="s">
        <v>293</v>
      </c>
      <c r="Z29" s="54">
        <f>SUMIF(Sales!N22:N71,Y29,Sales!I22:I71)</f>
        <v>0</v>
      </c>
    </row>
    <row r="30" spans="1:26">
      <c r="A30" s="49"/>
      <c r="B30" s="49"/>
      <c r="C30" s="49"/>
      <c r="D30" s="49"/>
      <c r="E30" s="49"/>
      <c r="F30" s="49"/>
      <c r="G30" s="49"/>
      <c r="H30" s="49"/>
      <c r="I30" s="49"/>
      <c r="J30" s="49"/>
      <c r="K30" s="49"/>
      <c r="L30" s="49"/>
      <c r="M30" s="49"/>
      <c r="N30" s="49"/>
      <c r="O30" s="49"/>
      <c r="P30" s="49"/>
      <c r="Q30" s="49"/>
      <c r="R30" s="49"/>
      <c r="S30" s="49"/>
      <c r="T30" s="49"/>
      <c r="U30" s="49"/>
      <c r="V30" s="49"/>
      <c r="W30" s="49"/>
      <c r="X30" s="49"/>
      <c r="Y30" s="53" t="s">
        <v>294</v>
      </c>
      <c r="Z30" s="54">
        <f>SUMIF(Sales!N23:N72,Y30,Sales!I23:I72)</f>
        <v>0</v>
      </c>
    </row>
    <row r="31" spans="1:26">
      <c r="A31" s="49"/>
      <c r="B31" s="49"/>
      <c r="C31" s="49"/>
      <c r="D31" s="49"/>
      <c r="E31" s="49"/>
      <c r="F31" s="49"/>
      <c r="G31" s="49"/>
      <c r="H31" s="49"/>
      <c r="I31" s="49"/>
      <c r="J31" s="49"/>
      <c r="K31" s="49"/>
      <c r="L31" s="49"/>
      <c r="M31" s="49"/>
      <c r="N31" s="49"/>
      <c r="O31" s="49"/>
      <c r="P31" s="49"/>
      <c r="Q31" s="49"/>
      <c r="R31" s="49"/>
      <c r="S31" s="49"/>
      <c r="T31" s="49"/>
      <c r="U31" s="49"/>
      <c r="V31" s="49"/>
      <c r="W31" s="49"/>
      <c r="X31" s="49"/>
      <c r="Y31" s="53" t="s">
        <v>296</v>
      </c>
      <c r="Z31" s="54">
        <f>SUMIF(Sales!N24:N73,Y31,Sales!I24:I73)</f>
        <v>0</v>
      </c>
    </row>
    <row r="32" spans="1:26">
      <c r="A32" s="49"/>
      <c r="B32" s="49"/>
      <c r="C32" s="49"/>
      <c r="D32" s="49"/>
      <c r="E32" s="49"/>
      <c r="F32" s="49"/>
      <c r="G32" s="49"/>
      <c r="H32" s="49"/>
      <c r="I32" s="49"/>
      <c r="J32" s="49"/>
      <c r="K32" s="49"/>
      <c r="L32" s="49"/>
      <c r="M32" s="49"/>
      <c r="N32" s="49"/>
      <c r="O32" s="49"/>
      <c r="P32" s="49"/>
      <c r="Q32" s="49"/>
      <c r="R32" s="49"/>
      <c r="S32" s="49"/>
      <c r="T32" s="49"/>
      <c r="U32" s="49"/>
      <c r="V32" s="49"/>
      <c r="W32" s="49"/>
      <c r="X32" s="49"/>
      <c r="Y32" s="53" t="s">
        <v>297</v>
      </c>
      <c r="Z32" s="54">
        <f>SUMIF(Sales!N25:N74,Y32,Sales!I25:I74)</f>
        <v>0</v>
      </c>
    </row>
    <row r="33" spans="1:26">
      <c r="A33" s="49"/>
      <c r="B33" s="49"/>
      <c r="C33" s="49"/>
      <c r="D33" s="49"/>
      <c r="E33" s="49"/>
      <c r="F33" s="49"/>
      <c r="G33" s="49"/>
      <c r="H33" s="49"/>
      <c r="I33" s="49"/>
      <c r="J33" s="49"/>
      <c r="K33" s="49"/>
      <c r="L33" s="49"/>
      <c r="M33" s="49"/>
      <c r="N33" s="49"/>
      <c r="O33" s="49"/>
      <c r="P33" s="49"/>
      <c r="Q33" s="49"/>
      <c r="R33" s="49"/>
      <c r="S33" s="49"/>
      <c r="T33" s="49"/>
      <c r="U33" s="49"/>
      <c r="V33" s="49"/>
      <c r="W33" s="49"/>
      <c r="X33" s="49"/>
      <c r="Y33" s="53" t="s">
        <v>299</v>
      </c>
      <c r="Z33" s="54">
        <f>SUMIF(Sales!N27:N76,Y33,Sales!I27:I76)</f>
        <v>0</v>
      </c>
    </row>
    <row r="34" spans="1:26">
      <c r="A34" s="49"/>
      <c r="B34" s="49"/>
      <c r="C34" s="49"/>
      <c r="D34" s="49"/>
      <c r="E34" s="49"/>
      <c r="F34" s="49"/>
      <c r="G34" s="49"/>
      <c r="H34" s="49"/>
      <c r="I34" s="49"/>
      <c r="J34" s="49"/>
      <c r="K34" s="49"/>
      <c r="L34" s="49"/>
      <c r="M34" s="49"/>
      <c r="N34" s="49"/>
      <c r="O34" s="49"/>
      <c r="P34" s="49"/>
      <c r="Q34" s="49"/>
      <c r="R34" s="49"/>
      <c r="S34" s="49"/>
      <c r="T34" s="49"/>
      <c r="U34" s="49"/>
      <c r="V34" s="49"/>
      <c r="W34" s="49"/>
      <c r="X34" s="49"/>
      <c r="Y34" s="53" t="s">
        <v>302</v>
      </c>
      <c r="Z34" s="54">
        <f>SUMIF(Sales!N28:N77,Y34,Sales!I28:I77)</f>
        <v>0</v>
      </c>
    </row>
    <row r="35" spans="1:26">
      <c r="A35" s="49"/>
      <c r="B35" s="49"/>
      <c r="C35" s="49"/>
      <c r="D35" s="49"/>
      <c r="E35" s="49"/>
      <c r="F35" s="49"/>
      <c r="G35" s="49"/>
      <c r="H35" s="49"/>
      <c r="I35" s="49"/>
      <c r="J35" s="49"/>
      <c r="K35" s="49"/>
      <c r="L35" s="49"/>
      <c r="M35" s="49"/>
      <c r="N35" s="49"/>
      <c r="O35" s="49"/>
      <c r="P35" s="49"/>
      <c r="Q35" s="49"/>
      <c r="R35" s="49"/>
      <c r="S35" s="49"/>
      <c r="T35" s="49"/>
      <c r="U35" s="49"/>
      <c r="V35" s="49"/>
      <c r="W35" s="49"/>
      <c r="X35" s="49"/>
      <c r="Y35" s="53" t="s">
        <v>303</v>
      </c>
      <c r="Z35" s="54">
        <f>SUMIF(Sales!N29:N78,Y35,Sales!I29:I78)</f>
        <v>0</v>
      </c>
    </row>
  </sheetData>
  <mergeCells count="1">
    <mergeCell ref="D1:J2"/>
  </mergeCells>
  <dataValidations count="1">
    <dataValidation type="list" allowBlank="1" showInputMessage="1" showErrorMessage="1" sqref="B8" xr:uid="{20614B74-5A53-4E9D-B2C9-A86CA7343C6D}">
      <formula1>"North,South,East,West"</formula1>
    </dataValidation>
  </dataValidations>
  <pageMargins left="0.7" right="0.7" top="0.75" bottom="0.75" header="0.3" footer="0.3"/>
  <pageSetup orientation="portrait" r:id="rId1"/>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1037-E536-4D7B-B730-E43D48B2758D}">
  <dimension ref="A3:B104"/>
  <sheetViews>
    <sheetView workbookViewId="0">
      <selection activeCell="E7" sqref="E7"/>
    </sheetView>
  </sheetViews>
  <sheetFormatPr defaultRowHeight="14.5"/>
  <cols>
    <col min="1" max="1" width="12.36328125" bestFit="1" customWidth="1"/>
    <col min="2" max="2" width="14.36328125" bestFit="1" customWidth="1"/>
  </cols>
  <sheetData>
    <row r="3" spans="1:2">
      <c r="A3" s="29" t="s">
        <v>577</v>
      </c>
      <c r="B3" t="s">
        <v>579</v>
      </c>
    </row>
    <row r="4" spans="1:2">
      <c r="A4" s="40" t="s">
        <v>55</v>
      </c>
      <c r="B4" s="39">
        <v>538498</v>
      </c>
    </row>
    <row r="5" spans="1:2">
      <c r="A5" s="41" t="s">
        <v>19</v>
      </c>
      <c r="B5" s="39">
        <v>538498</v>
      </c>
    </row>
    <row r="6" spans="1:2">
      <c r="A6" s="40" t="s">
        <v>81</v>
      </c>
      <c r="B6" s="39">
        <v>422049.6</v>
      </c>
    </row>
    <row r="7" spans="1:2">
      <c r="A7" s="41" t="s">
        <v>23</v>
      </c>
      <c r="B7" s="39">
        <v>422049.6</v>
      </c>
    </row>
    <row r="8" spans="1:2">
      <c r="A8" s="40" t="s">
        <v>118</v>
      </c>
      <c r="B8" s="39">
        <v>417452</v>
      </c>
    </row>
    <row r="9" spans="1:2">
      <c r="A9" s="41" t="s">
        <v>110</v>
      </c>
      <c r="B9" s="39">
        <v>417452</v>
      </c>
    </row>
    <row r="10" spans="1:2">
      <c r="A10" s="40" t="s">
        <v>125</v>
      </c>
      <c r="B10" s="39">
        <v>413500</v>
      </c>
    </row>
    <row r="11" spans="1:2">
      <c r="A11" s="41" t="s">
        <v>127</v>
      </c>
      <c r="B11" s="39">
        <v>413500</v>
      </c>
    </row>
    <row r="12" spans="1:2">
      <c r="A12" s="40" t="s">
        <v>71</v>
      </c>
      <c r="B12" s="39">
        <v>404070</v>
      </c>
    </row>
    <row r="13" spans="1:2">
      <c r="A13" s="41" t="s">
        <v>74</v>
      </c>
      <c r="B13" s="39">
        <v>404070</v>
      </c>
    </row>
    <row r="14" spans="1:2">
      <c r="A14" s="40" t="s">
        <v>25</v>
      </c>
      <c r="B14" s="39">
        <v>286499.20000000001</v>
      </c>
    </row>
    <row r="15" spans="1:2">
      <c r="A15" s="38" t="s">
        <v>28</v>
      </c>
      <c r="B15" s="31">
        <v>286499.20000000001</v>
      </c>
    </row>
    <row r="16" spans="1:2">
      <c r="A16" s="30" t="s">
        <v>83</v>
      </c>
      <c r="B16" s="31">
        <v>253880</v>
      </c>
    </row>
    <row r="17" spans="1:2">
      <c r="A17" s="38" t="s">
        <v>85</v>
      </c>
      <c r="B17" s="31">
        <v>253880</v>
      </c>
    </row>
    <row r="18" spans="1:2">
      <c r="A18" s="30" t="s">
        <v>128</v>
      </c>
      <c r="B18" s="31">
        <v>248472.9</v>
      </c>
    </row>
    <row r="19" spans="1:2">
      <c r="A19" s="38" t="s">
        <v>131</v>
      </c>
      <c r="B19" s="31">
        <v>248472.9</v>
      </c>
    </row>
    <row r="20" spans="1:2">
      <c r="A20" s="30" t="s">
        <v>91</v>
      </c>
      <c r="B20" s="31">
        <v>236384</v>
      </c>
    </row>
    <row r="21" spans="1:2">
      <c r="A21" s="38" t="s">
        <v>28</v>
      </c>
      <c r="B21" s="31">
        <v>236384</v>
      </c>
    </row>
    <row r="22" spans="1:2">
      <c r="A22" s="30" t="s">
        <v>115</v>
      </c>
      <c r="B22" s="31">
        <v>209953.8</v>
      </c>
    </row>
    <row r="23" spans="1:2">
      <c r="A23" s="38" t="s">
        <v>67</v>
      </c>
      <c r="B23" s="31">
        <v>209953.8</v>
      </c>
    </row>
    <row r="24" spans="1:2">
      <c r="A24" s="30" t="s">
        <v>30</v>
      </c>
      <c r="B24" s="31">
        <v>203388</v>
      </c>
    </row>
    <row r="25" spans="1:2">
      <c r="A25" s="38" t="s">
        <v>23</v>
      </c>
      <c r="B25" s="31">
        <v>203388</v>
      </c>
    </row>
    <row r="26" spans="1:2">
      <c r="A26" s="30" t="s">
        <v>132</v>
      </c>
      <c r="B26" s="31">
        <v>157939.20000000001</v>
      </c>
    </row>
    <row r="27" spans="1:2">
      <c r="A27" s="38" t="s">
        <v>134</v>
      </c>
      <c r="B27" s="31">
        <v>157939.20000000001</v>
      </c>
    </row>
    <row r="28" spans="1:2">
      <c r="A28" s="30" t="s">
        <v>108</v>
      </c>
      <c r="B28" s="31">
        <v>157158.39999999999</v>
      </c>
    </row>
    <row r="29" spans="1:2">
      <c r="A29" s="38" t="s">
        <v>110</v>
      </c>
      <c r="B29" s="31">
        <v>157158.39999999999</v>
      </c>
    </row>
    <row r="30" spans="1:2">
      <c r="A30" s="30" t="s">
        <v>150</v>
      </c>
      <c r="B30" s="31">
        <v>143008.25</v>
      </c>
    </row>
    <row r="31" spans="1:2">
      <c r="A31" s="38" t="s">
        <v>23</v>
      </c>
      <c r="B31" s="31">
        <v>143008.25</v>
      </c>
    </row>
    <row r="32" spans="1:2">
      <c r="A32" s="30" t="s">
        <v>113</v>
      </c>
      <c r="B32" s="31">
        <v>139217.75</v>
      </c>
    </row>
    <row r="33" spans="1:2">
      <c r="A33" s="38" t="s">
        <v>40</v>
      </c>
      <c r="B33" s="31">
        <v>139217.75</v>
      </c>
    </row>
    <row r="34" spans="1:2">
      <c r="A34" s="30" t="s">
        <v>37</v>
      </c>
      <c r="B34" s="31">
        <v>135729</v>
      </c>
    </row>
    <row r="35" spans="1:2">
      <c r="A35" s="38" t="s">
        <v>40</v>
      </c>
      <c r="B35" s="31">
        <v>135729</v>
      </c>
    </row>
    <row r="36" spans="1:2">
      <c r="A36" s="30" t="s">
        <v>41</v>
      </c>
      <c r="B36" s="31">
        <v>112109.5</v>
      </c>
    </row>
    <row r="37" spans="1:2">
      <c r="A37" s="38" t="s">
        <v>44</v>
      </c>
      <c r="B37" s="31">
        <v>112109.5</v>
      </c>
    </row>
    <row r="38" spans="1:2">
      <c r="A38" s="30" t="s">
        <v>119</v>
      </c>
      <c r="B38" s="31">
        <v>104018.4</v>
      </c>
    </row>
    <row r="39" spans="1:2">
      <c r="A39" s="38" t="s">
        <v>67</v>
      </c>
      <c r="B39" s="31">
        <v>104018.4</v>
      </c>
    </row>
    <row r="40" spans="1:2">
      <c r="A40" s="30" t="s">
        <v>153</v>
      </c>
      <c r="B40" s="31">
        <v>74518</v>
      </c>
    </row>
    <row r="41" spans="1:2">
      <c r="A41" s="38" t="s">
        <v>67</v>
      </c>
      <c r="B41" s="31">
        <v>74518</v>
      </c>
    </row>
    <row r="42" spans="1:2">
      <c r="A42" s="30" t="s">
        <v>33</v>
      </c>
      <c r="B42" s="31">
        <v>74176</v>
      </c>
    </row>
    <row r="43" spans="1:2">
      <c r="A43" s="38" t="s">
        <v>36</v>
      </c>
      <c r="B43" s="31">
        <v>74176</v>
      </c>
    </row>
    <row r="44" spans="1:2">
      <c r="A44" s="30" t="s">
        <v>88</v>
      </c>
      <c r="B44" s="31">
        <v>67413.5</v>
      </c>
    </row>
    <row r="45" spans="1:2">
      <c r="A45" s="38" t="s">
        <v>90</v>
      </c>
      <c r="B45" s="31">
        <v>67413.5</v>
      </c>
    </row>
    <row r="46" spans="1:2">
      <c r="A46" s="30" t="s">
        <v>105</v>
      </c>
      <c r="B46" s="31">
        <v>56176</v>
      </c>
    </row>
    <row r="47" spans="1:2">
      <c r="A47" s="38" t="s">
        <v>74</v>
      </c>
      <c r="B47" s="31">
        <v>56176</v>
      </c>
    </row>
    <row r="48" spans="1:2">
      <c r="A48" s="30" t="s">
        <v>66</v>
      </c>
      <c r="B48" s="31">
        <v>54434</v>
      </c>
    </row>
    <row r="49" spans="1:2">
      <c r="A49" s="38" t="s">
        <v>67</v>
      </c>
      <c r="B49" s="31">
        <v>54434</v>
      </c>
    </row>
    <row r="50" spans="1:2">
      <c r="A50" s="30" t="s">
        <v>156</v>
      </c>
      <c r="B50" s="31">
        <v>53849.8</v>
      </c>
    </row>
    <row r="51" spans="1:2">
      <c r="A51" s="38" t="s">
        <v>157</v>
      </c>
      <c r="B51" s="31">
        <v>53849.8</v>
      </c>
    </row>
    <row r="52" spans="1:2">
      <c r="A52" s="30" t="s">
        <v>135</v>
      </c>
      <c r="B52" s="31">
        <v>51272</v>
      </c>
    </row>
    <row r="53" spans="1:2">
      <c r="A53" s="38" t="s">
        <v>137</v>
      </c>
      <c r="B53" s="31">
        <v>51272</v>
      </c>
    </row>
    <row r="54" spans="1:2">
      <c r="A54" s="30" t="s">
        <v>62</v>
      </c>
      <c r="B54" s="31">
        <v>51062.400000000001</v>
      </c>
    </row>
    <row r="55" spans="1:2">
      <c r="A55" s="38" t="s">
        <v>65</v>
      </c>
      <c r="B55" s="31">
        <v>51062.400000000001</v>
      </c>
    </row>
    <row r="56" spans="1:2">
      <c r="A56" s="30" t="s">
        <v>51</v>
      </c>
      <c r="B56" s="31">
        <v>48594.400000000001</v>
      </c>
    </row>
    <row r="57" spans="1:2">
      <c r="A57" s="38" t="s">
        <v>54</v>
      </c>
      <c r="B57" s="31">
        <v>48594.400000000001</v>
      </c>
    </row>
    <row r="58" spans="1:2">
      <c r="A58" s="30" t="s">
        <v>122</v>
      </c>
      <c r="B58" s="31">
        <v>22315</v>
      </c>
    </row>
    <row r="59" spans="1:2">
      <c r="A59" s="38" t="s">
        <v>13</v>
      </c>
      <c r="B59" s="31">
        <v>22315</v>
      </c>
    </row>
    <row r="60" spans="1:2">
      <c r="A60" s="30" t="s">
        <v>49</v>
      </c>
      <c r="B60" s="31">
        <v>8645.4</v>
      </c>
    </row>
    <row r="61" spans="1:2">
      <c r="A61" s="38" t="s">
        <v>50</v>
      </c>
      <c r="B61" s="31">
        <v>8645.4</v>
      </c>
    </row>
    <row r="62" spans="1:2">
      <c r="A62" s="30" t="s">
        <v>75</v>
      </c>
      <c r="B62" s="31">
        <v>0</v>
      </c>
    </row>
    <row r="63" spans="1:2">
      <c r="A63" s="38" t="s">
        <v>58</v>
      </c>
      <c r="B63" s="31">
        <v>0</v>
      </c>
    </row>
    <row r="64" spans="1:2">
      <c r="A64" s="30" t="s">
        <v>143</v>
      </c>
      <c r="B64" s="31">
        <v>0</v>
      </c>
    </row>
    <row r="65" spans="1:2">
      <c r="A65" s="38" t="s">
        <v>146</v>
      </c>
      <c r="B65" s="31">
        <v>0</v>
      </c>
    </row>
    <row r="66" spans="1:2">
      <c r="A66" s="30" t="s">
        <v>77</v>
      </c>
      <c r="B66" s="31">
        <v>0</v>
      </c>
    </row>
    <row r="67" spans="1:2">
      <c r="A67" s="38" t="s">
        <v>80</v>
      </c>
      <c r="B67" s="31">
        <v>0</v>
      </c>
    </row>
    <row r="68" spans="1:2">
      <c r="A68" s="30" t="s">
        <v>138</v>
      </c>
      <c r="B68" s="31">
        <v>0</v>
      </c>
    </row>
    <row r="69" spans="1:2">
      <c r="A69" s="38" t="s">
        <v>110</v>
      </c>
      <c r="B69" s="31">
        <v>0</v>
      </c>
    </row>
    <row r="70" spans="1:2">
      <c r="A70" s="30" t="s">
        <v>59</v>
      </c>
      <c r="B70" s="31">
        <v>0</v>
      </c>
    </row>
    <row r="71" spans="1:2">
      <c r="A71" s="38" t="s">
        <v>54</v>
      </c>
      <c r="B71" s="31">
        <v>0</v>
      </c>
    </row>
    <row r="72" spans="1:2">
      <c r="A72" s="30" t="s">
        <v>101</v>
      </c>
      <c r="B72" s="31">
        <v>0</v>
      </c>
    </row>
    <row r="73" spans="1:2">
      <c r="A73" s="38" t="s">
        <v>104</v>
      </c>
      <c r="B73" s="31">
        <v>0</v>
      </c>
    </row>
    <row r="74" spans="1:2">
      <c r="A74" s="30" t="s">
        <v>16</v>
      </c>
      <c r="B74" s="31">
        <v>0</v>
      </c>
    </row>
    <row r="75" spans="1:2">
      <c r="A75" s="38" t="s">
        <v>19</v>
      </c>
      <c r="B75" s="31">
        <v>0</v>
      </c>
    </row>
    <row r="76" spans="1:2">
      <c r="A76" s="30" t="s">
        <v>111</v>
      </c>
      <c r="B76" s="31">
        <v>0</v>
      </c>
    </row>
    <row r="77" spans="1:2">
      <c r="A77" s="38" t="s">
        <v>28</v>
      </c>
      <c r="B77" s="31">
        <v>0</v>
      </c>
    </row>
    <row r="78" spans="1:2">
      <c r="A78" s="30" t="s">
        <v>45</v>
      </c>
      <c r="B78" s="31">
        <v>0</v>
      </c>
    </row>
    <row r="79" spans="1:2">
      <c r="A79" s="38" t="s">
        <v>28</v>
      </c>
      <c r="B79" s="31">
        <v>0</v>
      </c>
    </row>
    <row r="80" spans="1:2">
      <c r="A80" s="30" t="s">
        <v>10</v>
      </c>
      <c r="B80" s="31">
        <v>0</v>
      </c>
    </row>
    <row r="81" spans="1:2">
      <c r="A81" s="38" t="s">
        <v>13</v>
      </c>
      <c r="B81" s="31">
        <v>0</v>
      </c>
    </row>
    <row r="82" spans="1:2">
      <c r="A82" s="30" t="s">
        <v>98</v>
      </c>
      <c r="B82" s="31">
        <v>0</v>
      </c>
    </row>
    <row r="83" spans="1:2">
      <c r="A83" s="38" t="s">
        <v>36</v>
      </c>
      <c r="B83" s="31">
        <v>0</v>
      </c>
    </row>
    <row r="84" spans="1:2">
      <c r="A84" s="30" t="s">
        <v>147</v>
      </c>
      <c r="B84" s="31">
        <v>0</v>
      </c>
    </row>
    <row r="85" spans="1:2">
      <c r="A85" s="38" t="s">
        <v>149</v>
      </c>
      <c r="B85" s="31">
        <v>0</v>
      </c>
    </row>
    <row r="86" spans="1:2">
      <c r="A86" s="30" t="s">
        <v>140</v>
      </c>
      <c r="B86" s="31">
        <v>0</v>
      </c>
    </row>
    <row r="87" spans="1:2">
      <c r="A87" s="38" t="s">
        <v>142</v>
      </c>
      <c r="B87" s="31">
        <v>0</v>
      </c>
    </row>
    <row r="88" spans="1:2">
      <c r="A88" s="30" t="s">
        <v>57</v>
      </c>
      <c r="B88" s="31">
        <v>0</v>
      </c>
    </row>
    <row r="89" spans="1:2">
      <c r="A89" s="38" t="s">
        <v>58</v>
      </c>
      <c r="B89" s="31">
        <v>0</v>
      </c>
    </row>
    <row r="90" spans="1:2">
      <c r="A90" s="30" t="s">
        <v>100</v>
      </c>
      <c r="B90" s="31">
        <v>0</v>
      </c>
    </row>
    <row r="91" spans="1:2">
      <c r="A91" s="38" t="s">
        <v>80</v>
      </c>
      <c r="B91" s="31">
        <v>0</v>
      </c>
    </row>
    <row r="92" spans="1:2">
      <c r="A92" s="30" t="s">
        <v>93</v>
      </c>
      <c r="B92" s="31">
        <v>0</v>
      </c>
    </row>
    <row r="93" spans="1:2">
      <c r="A93" s="38" t="s">
        <v>96</v>
      </c>
      <c r="B93" s="31">
        <v>0</v>
      </c>
    </row>
    <row r="94" spans="1:2">
      <c r="A94" s="30" t="s">
        <v>20</v>
      </c>
      <c r="B94" s="31">
        <v>0</v>
      </c>
    </row>
    <row r="95" spans="1:2">
      <c r="A95" s="38" t="s">
        <v>23</v>
      </c>
      <c r="B95" s="31">
        <v>0</v>
      </c>
    </row>
    <row r="96" spans="1:2">
      <c r="A96" s="30" t="s">
        <v>154</v>
      </c>
      <c r="B96" s="31">
        <v>0</v>
      </c>
    </row>
    <row r="97" spans="1:2">
      <c r="A97" s="38" t="s">
        <v>80</v>
      </c>
      <c r="B97" s="31">
        <v>0</v>
      </c>
    </row>
    <row r="98" spans="1:2">
      <c r="A98" s="30" t="s">
        <v>117</v>
      </c>
      <c r="B98" s="31">
        <v>0</v>
      </c>
    </row>
    <row r="99" spans="1:2">
      <c r="A99" s="38" t="s">
        <v>85</v>
      </c>
      <c r="B99" s="31">
        <v>0</v>
      </c>
    </row>
    <row r="100" spans="1:2">
      <c r="A100" s="30" t="s">
        <v>86</v>
      </c>
      <c r="B100" s="31">
        <v>0</v>
      </c>
    </row>
    <row r="101" spans="1:2">
      <c r="A101" s="38" t="s">
        <v>87</v>
      </c>
      <c r="B101" s="31">
        <v>0</v>
      </c>
    </row>
    <row r="102" spans="1:2">
      <c r="A102" s="30" t="s">
        <v>68</v>
      </c>
      <c r="B102" s="31">
        <v>0</v>
      </c>
    </row>
    <row r="103" spans="1:2">
      <c r="A103" s="38" t="s">
        <v>28</v>
      </c>
      <c r="B103" s="31">
        <v>0</v>
      </c>
    </row>
    <row r="104" spans="1:2">
      <c r="A104" s="30" t="s">
        <v>578</v>
      </c>
      <c r="B104" s="31">
        <v>5145784.5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AFC58-9AFF-46DF-8BAC-B15D5E53981B}">
  <dimension ref="A3:B10"/>
  <sheetViews>
    <sheetView workbookViewId="0">
      <selection activeCell="A8" sqref="A8"/>
    </sheetView>
  </sheetViews>
  <sheetFormatPr defaultRowHeight="14.5"/>
  <cols>
    <col min="1" max="1" width="12.36328125" bestFit="1" customWidth="1"/>
    <col min="2" max="2" width="14.36328125" bestFit="1" customWidth="1"/>
  </cols>
  <sheetData>
    <row r="3" spans="1:2">
      <c r="A3" s="29" t="s">
        <v>577</v>
      </c>
      <c r="B3" t="s">
        <v>579</v>
      </c>
    </row>
    <row r="4" spans="1:2">
      <c r="A4" s="30" t="s">
        <v>587</v>
      </c>
      <c r="B4" s="31">
        <v>1147660</v>
      </c>
    </row>
    <row r="5" spans="1:2">
      <c r="A5" s="30" t="s">
        <v>588</v>
      </c>
      <c r="B5" s="31">
        <v>357695.6</v>
      </c>
    </row>
    <row r="6" spans="1:2">
      <c r="A6" s="30" t="s">
        <v>589</v>
      </c>
      <c r="B6" s="31">
        <v>274946.75</v>
      </c>
    </row>
    <row r="7" spans="1:2">
      <c r="A7" s="30" t="s">
        <v>590</v>
      </c>
      <c r="B7" s="31">
        <v>1885449.85</v>
      </c>
    </row>
    <row r="8" spans="1:2">
      <c r="A8" s="30" t="s">
        <v>591</v>
      </c>
      <c r="B8" s="31">
        <v>839578.3</v>
      </c>
    </row>
    <row r="9" spans="1:2">
      <c r="A9" s="30" t="s">
        <v>592</v>
      </c>
      <c r="B9" s="31">
        <v>640454</v>
      </c>
    </row>
    <row r="10" spans="1:2">
      <c r="A10" s="30" t="s">
        <v>578</v>
      </c>
      <c r="B10" s="31">
        <v>5145784.5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A690-E8FC-475D-B8CE-5B435F4A0955}">
  <dimension ref="A3:B38"/>
  <sheetViews>
    <sheetView topLeftCell="A3" workbookViewId="0">
      <selection activeCell="B4" sqref="B4"/>
    </sheetView>
  </sheetViews>
  <sheetFormatPr defaultRowHeight="14.5"/>
  <cols>
    <col min="1" max="1" width="17.81640625" bestFit="1" customWidth="1"/>
    <col min="2" max="2" width="14.36328125" bestFit="1" customWidth="1"/>
  </cols>
  <sheetData>
    <row r="3" spans="1:2">
      <c r="A3" s="29" t="s">
        <v>577</v>
      </c>
      <c r="B3" t="s">
        <v>579</v>
      </c>
    </row>
    <row r="4" spans="1:2">
      <c r="A4" s="30" t="s">
        <v>300</v>
      </c>
      <c r="B4" s="31">
        <v>784564.2</v>
      </c>
    </row>
    <row r="5" spans="1:2">
      <c r="A5" s="30" t="s">
        <v>312</v>
      </c>
      <c r="B5" s="31">
        <v>592347.80000000005</v>
      </c>
    </row>
    <row r="6" spans="1:2">
      <c r="A6" s="30" t="s">
        <v>303</v>
      </c>
      <c r="B6" s="31">
        <v>561267.35</v>
      </c>
    </row>
    <row r="7" spans="1:2">
      <c r="A7" s="30" t="s">
        <v>271</v>
      </c>
      <c r="B7" s="31">
        <v>413500</v>
      </c>
    </row>
    <row r="8" spans="1:2">
      <c r="A8" s="30" t="s">
        <v>276</v>
      </c>
      <c r="B8" s="31">
        <v>404070</v>
      </c>
    </row>
    <row r="9" spans="1:2">
      <c r="A9" s="30" t="s">
        <v>331</v>
      </c>
      <c r="B9" s="31">
        <v>293668.2</v>
      </c>
    </row>
    <row r="10" spans="1:2">
      <c r="A10" s="30" t="s">
        <v>293</v>
      </c>
      <c r="B10" s="31">
        <v>286499.20000000001</v>
      </c>
    </row>
    <row r="11" spans="1:2">
      <c r="A11" s="30" t="s">
        <v>279</v>
      </c>
      <c r="B11" s="31">
        <v>253880</v>
      </c>
    </row>
    <row r="12" spans="1:2">
      <c r="A12" s="30" t="s">
        <v>264</v>
      </c>
      <c r="B12" s="31">
        <v>248472.9</v>
      </c>
    </row>
    <row r="13" spans="1:2">
      <c r="A13" s="30" t="s">
        <v>324</v>
      </c>
      <c r="B13" s="31">
        <v>236384</v>
      </c>
    </row>
    <row r="14" spans="1:2">
      <c r="A14" s="30" t="s">
        <v>298</v>
      </c>
      <c r="B14" s="31">
        <v>203388</v>
      </c>
    </row>
    <row r="15" spans="1:2">
      <c r="A15" s="30" t="s">
        <v>294</v>
      </c>
      <c r="B15" s="31">
        <v>143008.25</v>
      </c>
    </row>
    <row r="16" spans="1:2">
      <c r="A16" s="30" t="s">
        <v>310</v>
      </c>
      <c r="B16" s="31">
        <v>112109.5</v>
      </c>
    </row>
    <row r="17" spans="1:2">
      <c r="A17" s="30" t="s">
        <v>309</v>
      </c>
      <c r="B17" s="31">
        <v>104018.4</v>
      </c>
    </row>
    <row r="18" spans="1:2">
      <c r="A18" s="30" t="s">
        <v>311</v>
      </c>
      <c r="B18" s="31">
        <v>74518</v>
      </c>
    </row>
    <row r="19" spans="1:2">
      <c r="A19" s="30" t="s">
        <v>278</v>
      </c>
      <c r="B19" s="31">
        <v>74176</v>
      </c>
    </row>
    <row r="20" spans="1:2">
      <c r="A20" s="30" t="s">
        <v>306</v>
      </c>
      <c r="B20" s="31">
        <v>67413.5</v>
      </c>
    </row>
    <row r="21" spans="1:2">
      <c r="A21" s="30" t="s">
        <v>308</v>
      </c>
      <c r="B21" s="31">
        <v>63079.4</v>
      </c>
    </row>
    <row r="22" spans="1:2">
      <c r="A22" s="30" t="s">
        <v>287</v>
      </c>
      <c r="B22" s="31">
        <v>56176</v>
      </c>
    </row>
    <row r="23" spans="1:2">
      <c r="A23" s="30" t="s">
        <v>323</v>
      </c>
      <c r="B23" s="31">
        <v>51272</v>
      </c>
    </row>
    <row r="24" spans="1:2">
      <c r="A24" s="30" t="s">
        <v>259</v>
      </c>
      <c r="B24" s="31">
        <v>51062.400000000001</v>
      </c>
    </row>
    <row r="25" spans="1:2">
      <c r="A25" s="30" t="s">
        <v>321</v>
      </c>
      <c r="B25" s="31">
        <v>48594.400000000001</v>
      </c>
    </row>
    <row r="26" spans="1:2">
      <c r="A26" s="30" t="s">
        <v>318</v>
      </c>
      <c r="B26" s="31">
        <v>22315</v>
      </c>
    </row>
    <row r="27" spans="1:2">
      <c r="A27" s="30" t="s">
        <v>307</v>
      </c>
      <c r="B27" s="31">
        <v>0</v>
      </c>
    </row>
    <row r="28" spans="1:2">
      <c r="A28" s="30" t="s">
        <v>322</v>
      </c>
      <c r="B28" s="31">
        <v>0</v>
      </c>
    </row>
    <row r="29" spans="1:2">
      <c r="A29" s="30" t="s">
        <v>261</v>
      </c>
      <c r="B29" s="31">
        <v>0</v>
      </c>
    </row>
    <row r="30" spans="1:2">
      <c r="A30" s="30" t="s">
        <v>272</v>
      </c>
      <c r="B30" s="31">
        <v>0</v>
      </c>
    </row>
    <row r="31" spans="1:2">
      <c r="A31" s="30" t="s">
        <v>277</v>
      </c>
      <c r="B31" s="31">
        <v>0</v>
      </c>
    </row>
    <row r="32" spans="1:2">
      <c r="A32" s="30" t="s">
        <v>317</v>
      </c>
      <c r="B32" s="31">
        <v>0</v>
      </c>
    </row>
    <row r="33" spans="1:2">
      <c r="A33" s="30" t="s">
        <v>299</v>
      </c>
      <c r="B33" s="31">
        <v>0</v>
      </c>
    </row>
    <row r="34" spans="1:2">
      <c r="A34" s="30" t="s">
        <v>301</v>
      </c>
      <c r="B34" s="31">
        <v>0</v>
      </c>
    </row>
    <row r="35" spans="1:2">
      <c r="A35" s="30" t="s">
        <v>297</v>
      </c>
      <c r="B35" s="31">
        <v>0</v>
      </c>
    </row>
    <row r="36" spans="1:2">
      <c r="A36" s="30" t="s">
        <v>302</v>
      </c>
      <c r="B36" s="31">
        <v>0</v>
      </c>
    </row>
    <row r="37" spans="1:2">
      <c r="A37" s="30" t="s">
        <v>262</v>
      </c>
      <c r="B37" s="31">
        <v>0</v>
      </c>
    </row>
    <row r="38" spans="1:2">
      <c r="A38" s="30" t="s">
        <v>578</v>
      </c>
      <c r="B38" s="31">
        <v>5145784.5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0A56-BFC7-42FD-86F8-761EE5B7BE30}">
  <dimension ref="A3:B9"/>
  <sheetViews>
    <sheetView workbookViewId="0">
      <selection activeCell="C11" sqref="C11"/>
    </sheetView>
  </sheetViews>
  <sheetFormatPr defaultRowHeight="14.5"/>
  <cols>
    <col min="1" max="1" width="12.36328125" bestFit="1" customWidth="1"/>
    <col min="2" max="2" width="14.36328125" bestFit="1" customWidth="1"/>
  </cols>
  <sheetData>
    <row r="3" spans="1:2">
      <c r="A3" s="29" t="s">
        <v>577</v>
      </c>
      <c r="B3" t="s">
        <v>579</v>
      </c>
    </row>
    <row r="4" spans="1:2">
      <c r="A4" s="30" t="s">
        <v>363</v>
      </c>
      <c r="B4" s="31">
        <v>1843220.25</v>
      </c>
    </row>
    <row r="5" spans="1:2">
      <c r="A5" s="30" t="s">
        <v>338</v>
      </c>
      <c r="B5" s="31">
        <v>1280794.55</v>
      </c>
    </row>
    <row r="6" spans="1:2">
      <c r="A6" s="30" t="s">
        <v>343</v>
      </c>
      <c r="B6" s="31">
        <v>1035795.3</v>
      </c>
    </row>
    <row r="7" spans="1:2">
      <c r="A7" s="30" t="s">
        <v>347</v>
      </c>
      <c r="B7" s="31">
        <v>985974.4</v>
      </c>
    </row>
    <row r="8" spans="1:2">
      <c r="A8" s="30" t="s">
        <v>350</v>
      </c>
      <c r="B8" s="31">
        <v>0</v>
      </c>
    </row>
    <row r="9" spans="1:2">
      <c r="A9" s="30" t="s">
        <v>578</v>
      </c>
      <c r="B9" s="31">
        <v>5145784.5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9CB0-5E41-4867-8B8F-EBD255BE50B1}">
  <dimension ref="A3:B7"/>
  <sheetViews>
    <sheetView workbookViewId="0">
      <selection activeCell="M17" sqref="M17"/>
    </sheetView>
  </sheetViews>
  <sheetFormatPr defaultRowHeight="14.5"/>
  <cols>
    <col min="1" max="1" width="12.36328125" bestFit="1" customWidth="1"/>
    <col min="2" max="2" width="14.81640625" bestFit="1" customWidth="1"/>
  </cols>
  <sheetData>
    <row r="3" spans="1:2">
      <c r="A3" s="29" t="s">
        <v>577</v>
      </c>
      <c r="B3" t="s">
        <v>604</v>
      </c>
    </row>
    <row r="4" spans="1:2">
      <c r="A4" s="30" t="s">
        <v>14</v>
      </c>
      <c r="B4" s="31">
        <v>14</v>
      </c>
    </row>
    <row r="5" spans="1:2">
      <c r="A5" s="30" t="s">
        <v>48</v>
      </c>
      <c r="B5" s="31">
        <v>7</v>
      </c>
    </row>
    <row r="6" spans="1:2">
      <c r="A6" s="30" t="s">
        <v>29</v>
      </c>
      <c r="B6" s="31">
        <v>29</v>
      </c>
    </row>
    <row r="7" spans="1:2">
      <c r="A7" s="30" t="s">
        <v>578</v>
      </c>
      <c r="B7" s="31">
        <v>50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174F-4D5F-467C-B356-7C72DD289B31}">
  <dimension ref="A3:B9"/>
  <sheetViews>
    <sheetView topLeftCell="A2" workbookViewId="0">
      <selection activeCell="D7" sqref="D7"/>
    </sheetView>
  </sheetViews>
  <sheetFormatPr defaultRowHeight="14.5"/>
  <cols>
    <col min="1" max="1" width="13.36328125" bestFit="1" customWidth="1"/>
    <col min="2" max="2" width="14.36328125" bestFit="1" customWidth="1"/>
  </cols>
  <sheetData>
    <row r="3" spans="1:2">
      <c r="A3" s="29" t="s">
        <v>577</v>
      </c>
      <c r="B3" t="s">
        <v>579</v>
      </c>
    </row>
    <row r="4" spans="1:2">
      <c r="A4" s="30" t="s">
        <v>395</v>
      </c>
      <c r="B4" s="31">
        <v>768445.85</v>
      </c>
    </row>
    <row r="5" spans="1:2">
      <c r="A5" s="30" t="s">
        <v>374</v>
      </c>
      <c r="B5" s="31">
        <v>574610.4</v>
      </c>
    </row>
    <row r="6" spans="1:2">
      <c r="A6" s="30" t="s">
        <v>379</v>
      </c>
      <c r="B6" s="31">
        <v>538498</v>
      </c>
    </row>
    <row r="7" spans="1:2">
      <c r="A7" s="30" t="s">
        <v>416</v>
      </c>
      <c r="B7" s="31">
        <v>522883.2</v>
      </c>
    </row>
    <row r="8" spans="1:2">
      <c r="A8" s="30" t="s">
        <v>367</v>
      </c>
      <c r="B8" s="31">
        <v>460246</v>
      </c>
    </row>
    <row r="9" spans="1:2">
      <c r="A9" s="30" t="s">
        <v>578</v>
      </c>
      <c r="B9" s="31">
        <v>2864683.45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zoomScale="92" zoomScaleNormal="310" workbookViewId="0">
      <pane ySplit="1" topLeftCell="A42" activePane="bottomLeft" state="frozen"/>
      <selection pane="bottomLeft" activeCell="O13" sqref="O13"/>
    </sheetView>
  </sheetViews>
  <sheetFormatPr defaultRowHeight="14.5"/>
  <cols>
    <col min="1" max="1" width="13.54296875" customWidth="1"/>
    <col min="2" max="2" width="21" customWidth="1"/>
    <col min="3" max="3" width="20.7265625" style="1" customWidth="1"/>
    <col min="4" max="4" width="15.453125" style="1" customWidth="1"/>
    <col min="5" max="5" width="13" style="1" customWidth="1"/>
    <col min="6" max="7" width="10.1796875" style="1" customWidth="1"/>
    <col min="8" max="8" width="15" style="1" customWidth="1"/>
    <col min="9" max="9" width="16" style="1" customWidth="1"/>
    <col min="10" max="10" width="16.7265625" customWidth="1"/>
    <col min="11" max="11" width="14.54296875" bestFit="1" customWidth="1"/>
    <col min="12" max="12" width="17.1796875" bestFit="1" customWidth="1"/>
    <col min="13" max="13" width="15.54296875" bestFit="1" customWidth="1"/>
    <col min="14" max="14" width="18.26953125" bestFit="1" customWidth="1"/>
  </cols>
  <sheetData>
    <row r="1" spans="1:14" ht="15" thickBot="1">
      <c r="A1" s="24" t="s">
        <v>0</v>
      </c>
      <c r="B1" s="24" t="s">
        <v>1</v>
      </c>
      <c r="C1" s="24" t="s">
        <v>2</v>
      </c>
      <c r="D1" s="24" t="s">
        <v>3</v>
      </c>
      <c r="E1" s="24" t="s">
        <v>4</v>
      </c>
      <c r="F1" s="24" t="s">
        <v>5</v>
      </c>
      <c r="G1" s="24" t="s">
        <v>6</v>
      </c>
      <c r="H1" s="24" t="s">
        <v>7</v>
      </c>
      <c r="I1" s="24" t="s">
        <v>8</v>
      </c>
      <c r="J1" s="24" t="s">
        <v>9</v>
      </c>
      <c r="K1" s="24" t="s">
        <v>334</v>
      </c>
      <c r="L1" s="24" t="s">
        <v>332</v>
      </c>
      <c r="M1" s="24" t="s">
        <v>602</v>
      </c>
      <c r="N1" s="24" t="s">
        <v>616</v>
      </c>
    </row>
    <row r="2" spans="1:14">
      <c r="A2" s="21" t="s">
        <v>62</v>
      </c>
      <c r="B2" s="22">
        <v>46069</v>
      </c>
      <c r="C2" s="28" t="s">
        <v>63</v>
      </c>
      <c r="D2" s="21" t="s">
        <v>64</v>
      </c>
      <c r="E2" s="7" t="str">
        <f>_xlfn.XLOOKUP(L2, L2:L51, Salespeople!A3:A52)</f>
        <v>SP002</v>
      </c>
      <c r="F2" s="21" t="s">
        <v>29</v>
      </c>
      <c r="G2" s="21">
        <v>9</v>
      </c>
      <c r="H2" s="21">
        <v>10</v>
      </c>
      <c r="I2" s="23">
        <v>51062.400000000001</v>
      </c>
      <c r="J2" s="21"/>
      <c r="K2" s="21" t="str">
        <f>_xlfn.XLOOKUP(E2,E2:E51, Salespeople!D11:D60)</f>
        <v>West</v>
      </c>
      <c r="L2" s="4" t="s">
        <v>341</v>
      </c>
      <c r="M2" s="21" t="str">
        <f>TEXT(B2,"mmm-yyyy")</f>
        <v>Feb-2026</v>
      </c>
      <c r="N2" s="42" t="str">
        <f>_xlfn.XLOOKUP(D2, D2:D51, Products!B40:B89)</f>
        <v>Software Product 39</v>
      </c>
    </row>
    <row r="3" spans="1:14">
      <c r="A3" s="21" t="s">
        <v>93</v>
      </c>
      <c r="B3" s="22">
        <v>46169</v>
      </c>
      <c r="C3" s="28" t="s">
        <v>94</v>
      </c>
      <c r="D3" s="21" t="s">
        <v>95</v>
      </c>
      <c r="E3" s="7" t="str">
        <f>_xlfn.XLOOKUP(L3, L3:L52, Salespeople!A44:A93)</f>
        <v>SP043</v>
      </c>
      <c r="F3" s="21" t="s">
        <v>14</v>
      </c>
      <c r="G3" s="21">
        <v>8</v>
      </c>
      <c r="H3" s="21">
        <v>20</v>
      </c>
      <c r="I3" s="23">
        <v>0</v>
      </c>
      <c r="J3" s="21" t="s">
        <v>97</v>
      </c>
      <c r="K3" s="21" t="str">
        <f>_xlfn.XLOOKUP(E3,E3:E52, Salespeople!D49:D98)</f>
        <v>North</v>
      </c>
      <c r="L3" s="4" t="s">
        <v>407</v>
      </c>
      <c r="M3" s="21" t="str">
        <f>TEXT(B3,"mmm-yyyy")</f>
        <v>May-2026</v>
      </c>
      <c r="N3" s="42" t="str">
        <f>_xlfn.XLOOKUP(D3, D3:D52, Products!B19:B68)</f>
        <v>Software Product 18</v>
      </c>
    </row>
    <row r="4" spans="1:14">
      <c r="A4" s="21" t="s">
        <v>59</v>
      </c>
      <c r="B4" s="22">
        <v>46116</v>
      </c>
      <c r="C4" s="28" t="s">
        <v>60</v>
      </c>
      <c r="D4" s="21" t="s">
        <v>61</v>
      </c>
      <c r="E4" s="7" t="str">
        <f>_xlfn.XLOOKUP(L4, L4:L53, Salespeople!A19:A68)</f>
        <v>SP018</v>
      </c>
      <c r="F4" s="21" t="s">
        <v>14</v>
      </c>
      <c r="G4" s="21">
        <v>15</v>
      </c>
      <c r="H4" s="21">
        <v>10</v>
      </c>
      <c r="I4" s="23">
        <v>0</v>
      </c>
      <c r="J4" s="21" t="s">
        <v>15</v>
      </c>
      <c r="K4" s="21" t="str">
        <f>_xlfn.XLOOKUP(E4,E4:E53, Salespeople!D26:D75)</f>
        <v>East</v>
      </c>
      <c r="L4" s="4" t="s">
        <v>373</v>
      </c>
      <c r="M4" s="21" t="str">
        <f>TEXT(B4,"mmm-yyyy")</f>
        <v>Apr-2026</v>
      </c>
      <c r="N4" s="42" t="str">
        <f>_xlfn.XLOOKUP(D4, D4:D53, Products!B33:B82)</f>
        <v>Software Product 32</v>
      </c>
    </row>
    <row r="5" spans="1:14">
      <c r="A5" s="21" t="s">
        <v>128</v>
      </c>
      <c r="B5" s="22">
        <v>46151</v>
      </c>
      <c r="C5" s="28" t="s">
        <v>129</v>
      </c>
      <c r="D5" s="21" t="s">
        <v>130</v>
      </c>
      <c r="E5" s="7" t="str">
        <f>_xlfn.XLOOKUP(L5, L5:L54, Salespeople!A39:A88)</f>
        <v>SP038</v>
      </c>
      <c r="F5" s="21" t="s">
        <v>29</v>
      </c>
      <c r="G5" s="21">
        <v>13</v>
      </c>
      <c r="H5" s="21">
        <v>10</v>
      </c>
      <c r="I5" s="23">
        <v>248472.9</v>
      </c>
      <c r="K5" s="21" t="str">
        <f>_xlfn.XLOOKUP(E5,E5:E54, Salespeople!D44:D93)</f>
        <v>East</v>
      </c>
      <c r="L5" s="4" t="s">
        <v>399</v>
      </c>
      <c r="M5" s="21" t="str">
        <f>TEXT(B5,"mmm-yyyy")</f>
        <v>May-2026</v>
      </c>
      <c r="N5" s="42" t="str">
        <f>_xlfn.XLOOKUP(D5, D5:D54, Products!B29:B78)</f>
        <v>Software Product 28</v>
      </c>
    </row>
    <row r="6" spans="1:14">
      <c r="A6" s="21" t="s">
        <v>125</v>
      </c>
      <c r="B6" s="22">
        <v>46162</v>
      </c>
      <c r="C6" s="28" t="s">
        <v>116</v>
      </c>
      <c r="D6" s="21" t="s">
        <v>126</v>
      </c>
      <c r="E6" s="7" t="str">
        <f>_xlfn.XLOOKUP(L6, L6:L55, Salespeople!A41:A90)</f>
        <v>SP040</v>
      </c>
      <c r="F6" s="21" t="s">
        <v>29</v>
      </c>
      <c r="G6" s="21">
        <v>20</v>
      </c>
      <c r="H6" s="21">
        <v>0</v>
      </c>
      <c r="I6" s="23">
        <v>413500</v>
      </c>
      <c r="K6" s="21" t="str">
        <f>_xlfn.XLOOKUP(E6,E6:E55, Salespeople!D46:D95)</f>
        <v>North</v>
      </c>
      <c r="L6" s="4" t="s">
        <v>402</v>
      </c>
      <c r="M6" s="21" t="str">
        <f>TEXT(B6,"mmm-yyyy")</f>
        <v>May-2026</v>
      </c>
      <c r="N6" s="42" t="str">
        <f>_xlfn.XLOOKUP(D6, D6:D55, Products!B3:B52)</f>
        <v>Software Product 2</v>
      </c>
    </row>
    <row r="7" spans="1:14">
      <c r="A7" s="21" t="s">
        <v>111</v>
      </c>
      <c r="B7" s="22">
        <v>46080</v>
      </c>
      <c r="C7" s="28" t="s">
        <v>52</v>
      </c>
      <c r="D7" s="21" t="s">
        <v>112</v>
      </c>
      <c r="E7" s="7" t="str">
        <f>_xlfn.XLOOKUP(L7, L7:L56, Salespeople!A10:A59)</f>
        <v>SP009</v>
      </c>
      <c r="F7" s="21" t="s">
        <v>14</v>
      </c>
      <c r="G7" s="21">
        <v>18</v>
      </c>
      <c r="H7" s="21">
        <v>20</v>
      </c>
      <c r="I7" s="23">
        <v>0</v>
      </c>
      <c r="K7" s="21" t="str">
        <f>_xlfn.XLOOKUP(E7,E7:E56, Salespeople!D18:D67)</f>
        <v>North</v>
      </c>
      <c r="L7" s="4" t="s">
        <v>360</v>
      </c>
      <c r="M7" s="21" t="str">
        <f>TEXT(B7,"mmm-yyyy")</f>
        <v>Feb-2026</v>
      </c>
      <c r="N7" s="42" t="str">
        <f>_xlfn.XLOOKUP(D7, D7:D56, Products!B49:B98)</f>
        <v>Software Product 48</v>
      </c>
    </row>
    <row r="8" spans="1:14">
      <c r="A8" s="21" t="s">
        <v>117</v>
      </c>
      <c r="B8" s="22">
        <v>46084</v>
      </c>
      <c r="C8" s="28" t="s">
        <v>26</v>
      </c>
      <c r="D8" s="21" t="s">
        <v>73</v>
      </c>
      <c r="E8" s="7" t="str">
        <f>_xlfn.XLOOKUP(L8, L8:L57, Salespeople!A12:A61)</f>
        <v>SP011</v>
      </c>
      <c r="F8" s="21" t="s">
        <v>48</v>
      </c>
      <c r="G8" s="21">
        <v>4</v>
      </c>
      <c r="H8" s="21">
        <v>10</v>
      </c>
      <c r="I8" s="23">
        <v>0</v>
      </c>
      <c r="K8" s="21" t="str">
        <f>_xlfn.XLOOKUP(E8,E8:E57, Salespeople!D20:D69)</f>
        <v>West</v>
      </c>
      <c r="L8" s="4" t="s">
        <v>365</v>
      </c>
      <c r="M8" s="21" t="str">
        <f>TEXT(B8,"mmm-yyyy")</f>
        <v>Mar-2026</v>
      </c>
      <c r="N8" s="42" t="str">
        <f>_xlfn.XLOOKUP(D8, D8:D57, Products!B42:B91)</f>
        <v>Software Product 41</v>
      </c>
    </row>
    <row r="9" spans="1:14">
      <c r="A9" s="21" t="s">
        <v>154</v>
      </c>
      <c r="B9" s="22">
        <v>46111</v>
      </c>
      <c r="C9" s="28" t="s">
        <v>155</v>
      </c>
      <c r="D9" s="21" t="s">
        <v>73</v>
      </c>
      <c r="E9" s="7" t="str">
        <f>_xlfn.XLOOKUP(L9, L9:L58, Salespeople!A16:A65)</f>
        <v>SP015</v>
      </c>
      <c r="F9" s="21" t="s">
        <v>48</v>
      </c>
      <c r="G9" s="21">
        <v>15</v>
      </c>
      <c r="H9" s="21">
        <v>5</v>
      </c>
      <c r="I9" s="23">
        <v>0</v>
      </c>
      <c r="K9" s="21" t="str">
        <f>_xlfn.XLOOKUP(E9,E9:E58, Salespeople!D23:D72)</f>
        <v>Central</v>
      </c>
      <c r="L9" s="4" t="s">
        <v>370</v>
      </c>
      <c r="M9" s="21" t="str">
        <f>TEXT(B9,"mmm-yyyy")</f>
        <v>Mar-2026</v>
      </c>
      <c r="N9" s="42" t="str">
        <f>_xlfn.XLOOKUP(D9, D9:D58, Products!B26:B75)</f>
        <v>Software Product 25</v>
      </c>
    </row>
    <row r="10" spans="1:14">
      <c r="A10" s="21" t="s">
        <v>71</v>
      </c>
      <c r="B10" s="22">
        <v>46190</v>
      </c>
      <c r="C10" s="28" t="s">
        <v>72</v>
      </c>
      <c r="D10" s="21" t="s">
        <v>73</v>
      </c>
      <c r="E10" s="7" t="str">
        <f>_xlfn.XLOOKUP(L10, L10:L59, Salespeople!A47:A96)</f>
        <v>SP046</v>
      </c>
      <c r="F10" s="21" t="s">
        <v>29</v>
      </c>
      <c r="G10" s="21">
        <v>15</v>
      </c>
      <c r="H10" s="21">
        <v>0</v>
      </c>
      <c r="I10" s="23">
        <v>404070</v>
      </c>
      <c r="J10" s="21"/>
      <c r="K10" s="21" t="str">
        <f>_xlfn.XLOOKUP(E10,E10:E59, Salespeople!D51:D100)</f>
        <v>East</v>
      </c>
      <c r="L10" s="4" t="s">
        <v>413</v>
      </c>
      <c r="M10" s="21" t="str">
        <f>TEXT(B10,"mmm-yyyy")</f>
        <v>Jun-2026</v>
      </c>
      <c r="N10" s="42" t="str">
        <f>_xlfn.XLOOKUP(D10, D10:D59, Products!B11:B60)</f>
        <v>Software Product 10</v>
      </c>
    </row>
    <row r="11" spans="1:14">
      <c r="A11" s="21" t="s">
        <v>138</v>
      </c>
      <c r="B11" s="22">
        <v>46023</v>
      </c>
      <c r="C11" s="28" t="s">
        <v>26</v>
      </c>
      <c r="D11" s="21" t="s">
        <v>139</v>
      </c>
      <c r="E11" s="7" t="str">
        <f>_xlfn.XLOOKUP(L11, L11:L60, Salespeople!A2:A51)</f>
        <v>SP001</v>
      </c>
      <c r="F11" s="21" t="s">
        <v>14</v>
      </c>
      <c r="G11" s="21">
        <v>14</v>
      </c>
      <c r="H11" s="21">
        <v>15</v>
      </c>
      <c r="I11" s="23">
        <v>0</v>
      </c>
      <c r="K11" s="45" t="str">
        <f>_xlfn.XLOOKUP(E11,E11:E60, Salespeople!D2:D51)</f>
        <v>East</v>
      </c>
      <c r="L11" s="4" t="s">
        <v>337</v>
      </c>
      <c r="M11" s="21" t="str">
        <f>TEXT(B11,"mmm-yyyy")</f>
        <v>Jan-2026</v>
      </c>
      <c r="N11" s="42" t="str">
        <f>_xlfn.XLOOKUP(D11, D11:D60, Products!B16:B65)</f>
        <v>Software Product 15</v>
      </c>
    </row>
    <row r="12" spans="1:14">
      <c r="A12" s="21" t="s">
        <v>33</v>
      </c>
      <c r="B12" s="22">
        <v>46075</v>
      </c>
      <c r="C12" s="28" t="s">
        <v>34</v>
      </c>
      <c r="D12" s="21" t="s">
        <v>35</v>
      </c>
      <c r="E12" s="7" t="str">
        <f>_xlfn.XLOOKUP(L12, L12:L61, Salespeople!A6:A55)</f>
        <v>SP005</v>
      </c>
      <c r="F12" s="21" t="s">
        <v>29</v>
      </c>
      <c r="G12" s="21">
        <v>16</v>
      </c>
      <c r="H12" s="21">
        <v>0</v>
      </c>
      <c r="I12" s="23">
        <v>74176</v>
      </c>
      <c r="J12" s="21"/>
      <c r="K12" s="21" t="str">
        <f>_xlfn.XLOOKUP(E12,E12:E61, Salespeople!D14:D63)</f>
        <v>North</v>
      </c>
      <c r="L12" s="4" t="s">
        <v>352</v>
      </c>
      <c r="M12" s="21" t="str">
        <f>TEXT(B12,"mmm-yyyy")</f>
        <v>Feb-2026</v>
      </c>
      <c r="N12" s="42" t="str">
        <f>_xlfn.XLOOKUP(D12, D12:D61, Products!B45:B94)</f>
        <v>Software Product 44</v>
      </c>
    </row>
    <row r="13" spans="1:14">
      <c r="A13" s="21" t="s">
        <v>57</v>
      </c>
      <c r="B13" s="22">
        <v>46138</v>
      </c>
      <c r="C13" s="28" t="s">
        <v>34</v>
      </c>
      <c r="D13" s="21" t="s">
        <v>35</v>
      </c>
      <c r="E13" s="7" t="str">
        <f>_xlfn.XLOOKUP(L13, L13:L62, Salespeople!A29:A78)</f>
        <v>SP028</v>
      </c>
      <c r="F13" s="21" t="s">
        <v>14</v>
      </c>
      <c r="G13" s="21">
        <v>18</v>
      </c>
      <c r="H13" s="21">
        <v>0</v>
      </c>
      <c r="I13" s="23">
        <v>0</v>
      </c>
      <c r="J13" s="21" t="s">
        <v>24</v>
      </c>
      <c r="K13" s="21" t="str">
        <f>_xlfn.XLOOKUP(E13,E13:E62, Salespeople!D35:D84)</f>
        <v>East</v>
      </c>
      <c r="L13" s="4" t="s">
        <v>385</v>
      </c>
      <c r="M13" s="21" t="str">
        <f>TEXT(B13,"mmm-yyyy")</f>
        <v>Apr-2026</v>
      </c>
      <c r="N13" s="42" t="str">
        <f>_xlfn.XLOOKUP(D13, D13:D62, Products!B23:B72)</f>
        <v>Software Product 22</v>
      </c>
    </row>
    <row r="14" spans="1:14">
      <c r="A14" s="21" t="s">
        <v>86</v>
      </c>
      <c r="B14" s="22">
        <v>46146</v>
      </c>
      <c r="C14" s="28" t="s">
        <v>17</v>
      </c>
      <c r="D14" s="21" t="s">
        <v>35</v>
      </c>
      <c r="E14" s="7" t="str">
        <f>_xlfn.XLOOKUP(L14, L14:L63, Salespeople!A36:A85)</f>
        <v>SP035</v>
      </c>
      <c r="F14" s="21" t="s">
        <v>48</v>
      </c>
      <c r="G14" s="21">
        <v>12</v>
      </c>
      <c r="H14" s="21">
        <v>20</v>
      </c>
      <c r="I14" s="23">
        <v>0</v>
      </c>
      <c r="J14" s="21"/>
      <c r="K14" s="21" t="str">
        <f>_xlfn.XLOOKUP(E14,E14:E63, Salespeople!D41:D90)</f>
        <v>West</v>
      </c>
      <c r="L14" s="4" t="s">
        <v>395</v>
      </c>
      <c r="M14" s="21" t="str">
        <f>TEXT(B14,"mmm-yyyy")</f>
        <v>May-2026</v>
      </c>
      <c r="N14" s="42" t="str">
        <f>_xlfn.XLOOKUP(D14, D14:D63, Products!B30:B79)</f>
        <v>Software Product 29</v>
      </c>
    </row>
    <row r="15" spans="1:14">
      <c r="A15" s="21" t="s">
        <v>83</v>
      </c>
      <c r="B15" s="22">
        <v>46136</v>
      </c>
      <c r="C15" s="28" t="s">
        <v>42</v>
      </c>
      <c r="D15" s="21" t="s">
        <v>84</v>
      </c>
      <c r="E15" s="7" t="str">
        <f>_xlfn.XLOOKUP(L15, L15:L64, Salespeople!A28:A77)</f>
        <v>SP027</v>
      </c>
      <c r="F15" s="21" t="s">
        <v>29</v>
      </c>
      <c r="G15" s="21">
        <v>11</v>
      </c>
      <c r="H15" s="21">
        <v>0</v>
      </c>
      <c r="I15" s="23">
        <v>253880</v>
      </c>
      <c r="J15" s="21"/>
      <c r="K15" s="21" t="str">
        <f>_xlfn.XLOOKUP(E15,E15:E64, Salespeople!D34:D83)</f>
        <v>Central</v>
      </c>
      <c r="L15" s="4" t="s">
        <v>384</v>
      </c>
      <c r="M15" s="21" t="str">
        <f>TEXT(B15,"mmm-yyyy")</f>
        <v>Apr-2026</v>
      </c>
      <c r="N15" s="42" t="str">
        <f>_xlfn.XLOOKUP(D15, D15:D64, Products!B43:B92)</f>
        <v>Software Product 42</v>
      </c>
    </row>
    <row r="16" spans="1:14">
      <c r="A16" s="21" t="s">
        <v>105</v>
      </c>
      <c r="B16" s="22">
        <v>46041</v>
      </c>
      <c r="C16" s="28" t="s">
        <v>106</v>
      </c>
      <c r="D16" s="21" t="s">
        <v>107</v>
      </c>
      <c r="E16" s="7" t="str">
        <f>_xlfn.XLOOKUP(L16, L16:L65, Salespeople!A49:A98)</f>
        <v>SP048</v>
      </c>
      <c r="F16" s="21" t="s">
        <v>29</v>
      </c>
      <c r="G16" s="21">
        <v>4</v>
      </c>
      <c r="H16" s="21">
        <v>20</v>
      </c>
      <c r="I16" s="23">
        <v>56176</v>
      </c>
      <c r="K16" s="21" t="str">
        <f>_xlfn.XLOOKUP(E16,E16:E65, Salespeople!D8:D57)</f>
        <v>East</v>
      </c>
      <c r="L16" s="4" t="s">
        <v>415</v>
      </c>
      <c r="M16" s="21" t="str">
        <f>TEXT(B16,"mmm-yyyy")</f>
        <v>Jan-2026</v>
      </c>
      <c r="N16" s="42" t="str">
        <f>_xlfn.XLOOKUP(D16, D16:D65, Products!B10:B59)</f>
        <v>Software Product 9</v>
      </c>
    </row>
    <row r="17" spans="1:14">
      <c r="A17" s="21" t="s">
        <v>25</v>
      </c>
      <c r="B17" s="22">
        <v>46123</v>
      </c>
      <c r="C17" s="28" t="s">
        <v>26</v>
      </c>
      <c r="D17" s="21" t="s">
        <v>27</v>
      </c>
      <c r="E17" s="7" t="str">
        <f>_xlfn.XLOOKUP(L17, L17:L66, Salespeople!A22:A71)</f>
        <v>SP021</v>
      </c>
      <c r="F17" s="21" t="s">
        <v>29</v>
      </c>
      <c r="G17" s="21">
        <v>13</v>
      </c>
      <c r="H17" s="21">
        <v>20</v>
      </c>
      <c r="I17" s="23">
        <v>286499.20000000001</v>
      </c>
      <c r="J17" s="21"/>
      <c r="K17" s="21" t="str">
        <f>_xlfn.XLOOKUP(E17,E17:E66, Salespeople!D29:D78)</f>
        <v>North</v>
      </c>
      <c r="L17" s="4" t="s">
        <v>376</v>
      </c>
      <c r="M17" s="21" t="str">
        <f>TEXT(B17,"mmm-yyyy")</f>
        <v>Apr-2026</v>
      </c>
      <c r="N17" s="42" t="str">
        <f>_xlfn.XLOOKUP(D17, D17:D66, Products!B50:B99)</f>
        <v>Software Product 49</v>
      </c>
    </row>
    <row r="18" spans="1:14">
      <c r="A18" s="21" t="s">
        <v>150</v>
      </c>
      <c r="B18" s="22">
        <v>46140</v>
      </c>
      <c r="C18" s="28" t="s">
        <v>151</v>
      </c>
      <c r="D18" s="21" t="s">
        <v>152</v>
      </c>
      <c r="E18" s="7" t="str">
        <f>_xlfn.XLOOKUP(L18, L18:L67, Salespeople!A32:A81)</f>
        <v>SP031</v>
      </c>
      <c r="F18" s="21" t="s">
        <v>29</v>
      </c>
      <c r="G18" s="21">
        <v>19</v>
      </c>
      <c r="H18" s="21">
        <v>15</v>
      </c>
      <c r="I18" s="23">
        <v>143008.25</v>
      </c>
      <c r="K18" s="21" t="str">
        <f>_xlfn.XLOOKUP(E18,E18:E67, Salespeople!D38:D87)</f>
        <v>North</v>
      </c>
      <c r="L18" s="4" t="s">
        <v>389</v>
      </c>
      <c r="M18" s="21" t="str">
        <f>TEXT(B18,"mmm-yyyy")</f>
        <v>Apr-2026</v>
      </c>
      <c r="N18" s="42" t="str">
        <f>_xlfn.XLOOKUP(D18, D18:D67, Products!B37:B86)</f>
        <v>Software Product 36</v>
      </c>
    </row>
    <row r="19" spans="1:14">
      <c r="A19" s="21" t="s">
        <v>101</v>
      </c>
      <c r="B19" s="22">
        <v>46085</v>
      </c>
      <c r="C19" s="28" t="s">
        <v>102</v>
      </c>
      <c r="D19" s="21" t="s">
        <v>103</v>
      </c>
      <c r="E19" s="7" t="str">
        <f>_xlfn.XLOOKUP(L19, L19:L68, Salespeople!A14:A63)</f>
        <v>SP013</v>
      </c>
      <c r="F19" s="21" t="s">
        <v>14</v>
      </c>
      <c r="G19" s="21">
        <v>8</v>
      </c>
      <c r="H19" s="21">
        <v>20</v>
      </c>
      <c r="I19" s="23">
        <v>0</v>
      </c>
      <c r="K19" s="21" t="str">
        <f>_xlfn.XLOOKUP(E19,E19:E68, Salespeople!D21:D70)</f>
        <v>East</v>
      </c>
      <c r="L19" s="4" t="s">
        <v>367</v>
      </c>
      <c r="M19" s="21" t="str">
        <f>TEXT(B19,"mmm-yyyy")</f>
        <v>Mar-2026</v>
      </c>
      <c r="N19" s="42" t="str">
        <f>_xlfn.XLOOKUP(D19, D19:D68, Products!B21:B70)</f>
        <v>Software Product 20</v>
      </c>
    </row>
    <row r="20" spans="1:14">
      <c r="A20" s="21" t="s">
        <v>30</v>
      </c>
      <c r="B20" s="22">
        <v>46030</v>
      </c>
      <c r="C20" s="28" t="s">
        <v>31</v>
      </c>
      <c r="D20" s="21" t="s">
        <v>32</v>
      </c>
      <c r="E20" s="7" t="str">
        <f>_xlfn.XLOOKUP(L20, L20:L69, Salespeople!A35:A84)</f>
        <v>SP034</v>
      </c>
      <c r="F20" s="21" t="s">
        <v>29</v>
      </c>
      <c r="G20" s="21">
        <v>15</v>
      </c>
      <c r="H20" s="21">
        <v>20</v>
      </c>
      <c r="I20" s="23">
        <v>203388</v>
      </c>
      <c r="J20" s="21"/>
      <c r="K20" s="21" t="str">
        <f>_xlfn.XLOOKUP(E20,E20:E69, Salespeople!D5:D54)</f>
        <v>South</v>
      </c>
      <c r="L20" s="4" t="s">
        <v>394</v>
      </c>
      <c r="M20" s="21" t="str">
        <f>TEXT(B20,"mmm-yyyy")</f>
        <v>Jan-2026</v>
      </c>
      <c r="N20" s="42" t="str">
        <f>_xlfn.XLOOKUP(D20, D20:D69, Products!B34:B83)</f>
        <v>Software Product 33</v>
      </c>
    </row>
    <row r="21" spans="1:14">
      <c r="A21" s="21" t="s">
        <v>147</v>
      </c>
      <c r="B21" s="22">
        <v>46148</v>
      </c>
      <c r="C21" s="28" t="s">
        <v>17</v>
      </c>
      <c r="D21" s="21" t="s">
        <v>148</v>
      </c>
      <c r="E21" s="7" t="str">
        <f>_xlfn.XLOOKUP(L21, L21:L70, Salespeople!A37:A86)</f>
        <v>SP036</v>
      </c>
      <c r="F21" s="21" t="s">
        <v>48</v>
      </c>
      <c r="G21" s="21">
        <v>18</v>
      </c>
      <c r="H21" s="21">
        <v>5</v>
      </c>
      <c r="I21" s="23">
        <v>0</v>
      </c>
      <c r="K21" s="21" t="str">
        <f>_xlfn.XLOOKUP(E21,E21:E70, Salespeople!D42:D91)</f>
        <v>Central</v>
      </c>
      <c r="L21" s="4" t="s">
        <v>396</v>
      </c>
      <c r="M21" s="21" t="str">
        <f>TEXT(B21,"mmm-yyyy")</f>
        <v>May-2026</v>
      </c>
      <c r="N21" s="42" t="str">
        <f>_xlfn.XLOOKUP(D21, D21:D70, Products!B2:B51)</f>
        <v>Software Product 1</v>
      </c>
    </row>
    <row r="22" spans="1:14">
      <c r="A22" s="21" t="s">
        <v>108</v>
      </c>
      <c r="B22" s="22">
        <v>46114</v>
      </c>
      <c r="C22" s="28" t="s">
        <v>76</v>
      </c>
      <c r="D22" s="21" t="s">
        <v>109</v>
      </c>
      <c r="E22" s="7" t="str">
        <f>_xlfn.XLOOKUP(L22, L22:L71, Salespeople!A18:A67)</f>
        <v>SP017</v>
      </c>
      <c r="F22" s="21" t="s">
        <v>29</v>
      </c>
      <c r="G22" s="21">
        <v>8</v>
      </c>
      <c r="H22" s="21">
        <v>20</v>
      </c>
      <c r="I22" s="23">
        <v>157158.39999999999</v>
      </c>
      <c r="K22" s="21" t="str">
        <f>_xlfn.XLOOKUP(E22,E22:E71, Salespeople!D25:D74)</f>
        <v>East</v>
      </c>
      <c r="L22" s="4" t="s">
        <v>372</v>
      </c>
      <c r="M22" s="21" t="str">
        <f>TEXT(B22,"mmm-yyyy")</f>
        <v>Apr-2026</v>
      </c>
      <c r="N22" s="42" t="str">
        <f>_xlfn.XLOOKUP(D22, D22:D71, Products!B18:B67)</f>
        <v>Software Product 17</v>
      </c>
    </row>
    <row r="23" spans="1:14">
      <c r="A23" s="21" t="s">
        <v>115</v>
      </c>
      <c r="B23" s="22">
        <v>46139</v>
      </c>
      <c r="C23" s="28" t="s">
        <v>116</v>
      </c>
      <c r="D23" s="21" t="s">
        <v>109</v>
      </c>
      <c r="E23" s="7" t="str">
        <f>_xlfn.XLOOKUP(L23, L23:L72, Salespeople!A30:A79)</f>
        <v>SP029</v>
      </c>
      <c r="F23" s="21" t="s">
        <v>29</v>
      </c>
      <c r="G23" s="21">
        <v>9</v>
      </c>
      <c r="H23" s="21">
        <v>5</v>
      </c>
      <c r="I23" s="23">
        <v>209953.8</v>
      </c>
      <c r="K23" s="21" t="str">
        <f>_xlfn.XLOOKUP(E23,E23:E72, Salespeople!D36:D85)</f>
        <v>West</v>
      </c>
      <c r="L23" s="4" t="s">
        <v>387</v>
      </c>
      <c r="M23" s="21" t="str">
        <f>TEXT(B23,"mmm-yyyy")</f>
        <v>Apr-2026</v>
      </c>
      <c r="N23" s="42" t="str">
        <f>_xlfn.XLOOKUP(D23, D23:D72, Products!B8:B57)</f>
        <v>Software Product 7</v>
      </c>
    </row>
    <row r="24" spans="1:14">
      <c r="A24" s="21" t="s">
        <v>118</v>
      </c>
      <c r="B24" s="22">
        <v>46045</v>
      </c>
      <c r="C24" s="28" t="s">
        <v>102</v>
      </c>
      <c r="D24" s="21" t="s">
        <v>109</v>
      </c>
      <c r="E24" s="7" t="str">
        <f>_xlfn.XLOOKUP(L24, L24:L73, Salespeople!A50:A99)</f>
        <v>SP049</v>
      </c>
      <c r="F24" s="21" t="s">
        <v>29</v>
      </c>
      <c r="G24" s="21">
        <v>17</v>
      </c>
      <c r="H24" s="21">
        <v>0</v>
      </c>
      <c r="I24" s="23">
        <v>417452</v>
      </c>
      <c r="K24" s="21" t="str">
        <f>_xlfn.XLOOKUP(E24,E24:E73, Salespeople!D9:D58)</f>
        <v>Central</v>
      </c>
      <c r="L24" s="4" t="s">
        <v>416</v>
      </c>
      <c r="M24" s="21" t="str">
        <f>TEXT(B24,"mmm-yyyy")</f>
        <v>Jan-2026</v>
      </c>
      <c r="N24" s="42" t="str">
        <f>_xlfn.XLOOKUP(D24, D24:D73, Products!B17:B66)</f>
        <v>Software Product 16</v>
      </c>
    </row>
    <row r="25" spans="1:14">
      <c r="A25" s="21" t="s">
        <v>20</v>
      </c>
      <c r="B25" s="22">
        <v>46076</v>
      </c>
      <c r="C25" s="28" t="s">
        <v>21</v>
      </c>
      <c r="D25" s="21" t="s">
        <v>22</v>
      </c>
      <c r="E25" s="7" t="str">
        <f>_xlfn.XLOOKUP(L25, L25:L74, Salespeople!A7:A56)</f>
        <v>SP006</v>
      </c>
      <c r="F25" s="21" t="s">
        <v>14</v>
      </c>
      <c r="G25" s="21">
        <v>13</v>
      </c>
      <c r="H25" s="21">
        <v>10</v>
      </c>
      <c r="I25" s="23">
        <v>0</v>
      </c>
      <c r="J25" s="21" t="s">
        <v>24</v>
      </c>
      <c r="K25" s="21" t="str">
        <f>_xlfn.XLOOKUP(E25,E25:E74, Salespeople!D15:D64)</f>
        <v>Central</v>
      </c>
      <c r="L25" s="4" t="s">
        <v>354</v>
      </c>
      <c r="M25" s="21" t="str">
        <f>TEXT(B25,"mmm-yyyy")</f>
        <v>Feb-2026</v>
      </c>
      <c r="N25" s="42" t="str">
        <f>_xlfn.XLOOKUP(D25, D25:D74, Products!B36:B85)</f>
        <v>Software Product 35</v>
      </c>
    </row>
    <row r="26" spans="1:14">
      <c r="A26" s="21" t="s">
        <v>10</v>
      </c>
      <c r="B26" s="22">
        <v>46092</v>
      </c>
      <c r="C26" s="28" t="s">
        <v>11</v>
      </c>
      <c r="D26" s="21" t="s">
        <v>12</v>
      </c>
      <c r="E26" s="7" t="str">
        <f>_xlfn.XLOOKUP(L26, L26:L75, Salespeople!A15:A64)</f>
        <v>SP014</v>
      </c>
      <c r="F26" s="21" t="s">
        <v>14</v>
      </c>
      <c r="G26" s="21">
        <v>6</v>
      </c>
      <c r="H26" s="21">
        <v>5</v>
      </c>
      <c r="I26" s="23">
        <v>0</v>
      </c>
      <c r="J26" s="21" t="s">
        <v>15</v>
      </c>
      <c r="K26" s="21" t="str">
        <f>_xlfn.XLOOKUP(E26,E26:E75, Salespeople!D22:D71)</f>
        <v>East</v>
      </c>
      <c r="L26" s="4" t="s">
        <v>368</v>
      </c>
      <c r="M26" s="21" t="str">
        <f>TEXT(B26,"mmm-yyyy")</f>
        <v>Mar-2026</v>
      </c>
      <c r="N26" s="42" t="str">
        <f>_xlfn.XLOOKUP(D26, D26:D75, Products!B4:B53)</f>
        <v>Software Product 3</v>
      </c>
    </row>
    <row r="27" spans="1:14">
      <c r="A27" s="21" t="s">
        <v>113</v>
      </c>
      <c r="B27" s="22">
        <v>46112</v>
      </c>
      <c r="C27" s="28" t="s">
        <v>114</v>
      </c>
      <c r="D27" s="21" t="s">
        <v>82</v>
      </c>
      <c r="E27" s="7" t="str">
        <f>_xlfn.XLOOKUP(L27, L27:L76, Salespeople!A17:A66)</f>
        <v>SP016</v>
      </c>
      <c r="F27" s="21" t="s">
        <v>29</v>
      </c>
      <c r="G27" s="21">
        <v>5</v>
      </c>
      <c r="H27" s="21">
        <v>5</v>
      </c>
      <c r="I27" s="23">
        <v>139217.75</v>
      </c>
      <c r="K27" s="21" t="str">
        <f>_xlfn.XLOOKUP(E27,E27:E76, Salespeople!D24:D73)</f>
        <v>East</v>
      </c>
      <c r="L27" s="4" t="s">
        <v>371</v>
      </c>
      <c r="M27" s="21" t="str">
        <f>TEXT(B27,"mmm-yyyy")</f>
        <v>Mar-2026</v>
      </c>
      <c r="N27" s="42" t="str">
        <f>_xlfn.XLOOKUP(D27, D27:D76, Products!B39:B88)</f>
        <v>Software Product 38</v>
      </c>
    </row>
    <row r="28" spans="1:14">
      <c r="A28" s="21" t="s">
        <v>81</v>
      </c>
      <c r="B28" s="22">
        <v>46035</v>
      </c>
      <c r="C28" s="28" t="s">
        <v>26</v>
      </c>
      <c r="D28" s="21" t="s">
        <v>82</v>
      </c>
      <c r="E28" s="7" t="str">
        <f>_xlfn.XLOOKUP(L28, L28:L77, Salespeople!A46:A95)</f>
        <v>SP045</v>
      </c>
      <c r="F28" s="21" t="s">
        <v>29</v>
      </c>
      <c r="G28" s="21">
        <v>16</v>
      </c>
      <c r="H28" s="21">
        <v>10</v>
      </c>
      <c r="I28" s="23">
        <v>422049.6</v>
      </c>
      <c r="J28" s="21"/>
      <c r="K28" s="21" t="str">
        <f>_xlfn.XLOOKUP(E28,E28:E77, Salespeople!D6:D55)</f>
        <v>South</v>
      </c>
      <c r="L28" s="4" t="s">
        <v>411</v>
      </c>
      <c r="M28" s="21" t="str">
        <f>TEXT(B28,"mmm-yyyy")</f>
        <v>Jan-2026</v>
      </c>
      <c r="N28" s="42" t="str">
        <f>_xlfn.XLOOKUP(D28, D28:D77, Products!B35:B84)</f>
        <v>Software Product 34</v>
      </c>
    </row>
    <row r="29" spans="1:14">
      <c r="A29" s="21" t="s">
        <v>140</v>
      </c>
      <c r="B29" s="22">
        <v>46056</v>
      </c>
      <c r="C29" s="28" t="s">
        <v>141</v>
      </c>
      <c r="D29" s="21" t="s">
        <v>82</v>
      </c>
      <c r="E29" s="7" t="str">
        <f>_xlfn.XLOOKUP(L29, L29:L78, Salespeople!A51:A100)</f>
        <v>SP050</v>
      </c>
      <c r="F29" s="21" t="s">
        <v>14</v>
      </c>
      <c r="G29" s="21">
        <v>3</v>
      </c>
      <c r="H29" s="21">
        <v>0</v>
      </c>
      <c r="I29" s="23">
        <v>0</v>
      </c>
      <c r="K29" s="21" t="str">
        <f>_xlfn.XLOOKUP(E29,E29:E78, Salespeople!D10:D59)</f>
        <v>North</v>
      </c>
      <c r="L29" s="4" t="s">
        <v>418</v>
      </c>
      <c r="M29" s="21" t="str">
        <f>TEXT(B29,"mmm-yyyy")</f>
        <v>Feb-2026</v>
      </c>
      <c r="N29" s="42" t="str">
        <f>_xlfn.XLOOKUP(D29, D29:D78, Products!B44:B93)</f>
        <v>Software Product 43</v>
      </c>
    </row>
    <row r="30" spans="1:14">
      <c r="A30" s="21" t="s">
        <v>88</v>
      </c>
      <c r="B30" s="22">
        <v>46128</v>
      </c>
      <c r="C30" s="28" t="s">
        <v>46</v>
      </c>
      <c r="D30" s="21" t="s">
        <v>89</v>
      </c>
      <c r="E30" s="7" t="str">
        <f>_xlfn.XLOOKUP(L30, L30:L79, Salespeople!A25:A74)</f>
        <v>SP024</v>
      </c>
      <c r="F30" s="21" t="s">
        <v>29</v>
      </c>
      <c r="G30" s="21">
        <v>10</v>
      </c>
      <c r="H30" s="21">
        <v>15</v>
      </c>
      <c r="I30" s="23">
        <v>67413.5</v>
      </c>
      <c r="J30" s="21"/>
      <c r="K30" s="21" t="str">
        <f>_xlfn.XLOOKUP(E30,E30:E79, Salespeople!D31:D80)</f>
        <v>North</v>
      </c>
      <c r="L30" s="4" t="s">
        <v>379</v>
      </c>
      <c r="M30" s="21" t="str">
        <f>TEXT(B30,"mmm-yyyy")</f>
        <v>Apr-2026</v>
      </c>
      <c r="N30" s="42" t="str">
        <f>_xlfn.XLOOKUP(D30, D30:D79, Products!B14:B63)</f>
        <v>Software Product 13</v>
      </c>
    </row>
    <row r="31" spans="1:14">
      <c r="A31" s="21" t="s">
        <v>16</v>
      </c>
      <c r="B31" s="22">
        <v>46037</v>
      </c>
      <c r="C31" s="28" t="s">
        <v>17</v>
      </c>
      <c r="D31" s="21" t="s">
        <v>18</v>
      </c>
      <c r="E31" s="7" t="str">
        <f>_xlfn.XLOOKUP(L31, L31:L80, Salespeople!A48:A97)</f>
        <v>SP047</v>
      </c>
      <c r="F31" s="21" t="s">
        <v>14</v>
      </c>
      <c r="G31" s="21">
        <v>12</v>
      </c>
      <c r="H31" s="21">
        <v>5</v>
      </c>
      <c r="I31" s="23">
        <v>0</v>
      </c>
      <c r="J31" s="21" t="s">
        <v>15</v>
      </c>
      <c r="K31" s="21" t="str">
        <f>_xlfn.XLOOKUP(E31,E31:E80, Salespeople!D7:D56)</f>
        <v>South</v>
      </c>
      <c r="L31" s="4" t="s">
        <v>414</v>
      </c>
      <c r="M31" s="21" t="str">
        <f>TEXT(B31,"mmm-yyyy")</f>
        <v>Jan-2026</v>
      </c>
      <c r="N31" s="42" t="str">
        <f>_xlfn.XLOOKUP(D31, D31:D80, Products!B24:B73)</f>
        <v>Software Product 23</v>
      </c>
    </row>
    <row r="32" spans="1:14">
      <c r="A32" s="21" t="s">
        <v>45</v>
      </c>
      <c r="B32" s="22">
        <v>46027</v>
      </c>
      <c r="C32" s="28" t="s">
        <v>46</v>
      </c>
      <c r="D32" s="21" t="s">
        <v>47</v>
      </c>
      <c r="E32" s="7" t="str">
        <f>_xlfn.XLOOKUP(L32, L32:L81, Salespeople!A13:A62)</f>
        <v>SP012</v>
      </c>
      <c r="F32" s="21" t="s">
        <v>48</v>
      </c>
      <c r="G32" s="21">
        <v>4</v>
      </c>
      <c r="H32" s="21">
        <v>0</v>
      </c>
      <c r="I32" s="23">
        <v>0</v>
      </c>
      <c r="J32" s="21"/>
      <c r="K32" s="21" t="str">
        <f>_xlfn.XLOOKUP(E32,E32:E81, Salespeople!D3:D52)</f>
        <v>North</v>
      </c>
      <c r="L32" s="4" t="s">
        <v>366</v>
      </c>
      <c r="M32" s="21" t="str">
        <f>TEXT(B32,"mmm-yyyy")</f>
        <v>Jan-2026</v>
      </c>
      <c r="N32" s="42" t="str">
        <f>_xlfn.XLOOKUP(D32, D32:D81, Products!B47:B96)</f>
        <v>Software Product 46</v>
      </c>
    </row>
    <row r="33" spans="1:14">
      <c r="A33" s="21" t="s">
        <v>66</v>
      </c>
      <c r="B33" s="22">
        <v>46121</v>
      </c>
      <c r="C33" s="28" t="s">
        <v>26</v>
      </c>
      <c r="D33" s="21" t="s">
        <v>47</v>
      </c>
      <c r="E33" s="7" t="str">
        <f>_xlfn.XLOOKUP(L33, L33:L82, Salespeople!A21:A70)</f>
        <v>SP020</v>
      </c>
      <c r="F33" s="21" t="s">
        <v>29</v>
      </c>
      <c r="G33" s="21">
        <v>17</v>
      </c>
      <c r="H33" s="21">
        <v>0</v>
      </c>
      <c r="I33" s="23">
        <v>54434</v>
      </c>
      <c r="J33" s="21"/>
      <c r="K33" s="21" t="str">
        <f>_xlfn.XLOOKUP(E33,E33:E82, Salespeople!D28:D77)</f>
        <v>Central</v>
      </c>
      <c r="L33" s="4" t="s">
        <v>375</v>
      </c>
      <c r="M33" s="21" t="str">
        <f>TEXT(B33,"mmm-yyyy")</f>
        <v>Apr-2026</v>
      </c>
      <c r="N33" s="42" t="str">
        <f>_xlfn.XLOOKUP(D33, D33:D82, Products!B7:B56)</f>
        <v>Software Product 6</v>
      </c>
    </row>
    <row r="34" spans="1:14">
      <c r="A34" s="21" t="s">
        <v>49</v>
      </c>
      <c r="B34" s="22">
        <v>46125</v>
      </c>
      <c r="C34" s="28" t="s">
        <v>17</v>
      </c>
      <c r="D34" s="21" t="s">
        <v>47</v>
      </c>
      <c r="E34" s="7" t="str">
        <f>_xlfn.XLOOKUP(L34, L34:L83, Salespeople!A23:A72)</f>
        <v>SP022</v>
      </c>
      <c r="F34" s="21" t="s">
        <v>29</v>
      </c>
      <c r="G34" s="21">
        <v>3</v>
      </c>
      <c r="H34" s="21">
        <v>10</v>
      </c>
      <c r="I34" s="23">
        <v>8645.4</v>
      </c>
      <c r="J34" s="21"/>
      <c r="K34" s="21" t="str">
        <f>_xlfn.XLOOKUP(E34,E34:E83, Salespeople!D30:D79)</f>
        <v>West</v>
      </c>
      <c r="L34" s="4" t="s">
        <v>377</v>
      </c>
      <c r="M34" s="21" t="str">
        <f>TEXT(B34,"mmm-yyyy")</f>
        <v>Apr-2026</v>
      </c>
      <c r="N34" s="42" t="str">
        <f>_xlfn.XLOOKUP(D34, D34:D83, Products!B41:B90)</f>
        <v>Software Product 40</v>
      </c>
    </row>
    <row r="35" spans="1:14">
      <c r="A35" s="21" t="s">
        <v>119</v>
      </c>
      <c r="B35" s="22">
        <v>46149</v>
      </c>
      <c r="C35" s="28" t="s">
        <v>120</v>
      </c>
      <c r="D35" s="21" t="s">
        <v>121</v>
      </c>
      <c r="E35" s="7" t="str">
        <f>_xlfn.XLOOKUP(L35, L35:L84, Salespeople!A38:A87)</f>
        <v>SP037</v>
      </c>
      <c r="F35" s="21" t="s">
        <v>29</v>
      </c>
      <c r="G35" s="21">
        <v>9</v>
      </c>
      <c r="H35" s="21">
        <v>20</v>
      </c>
      <c r="I35" s="23">
        <v>104018.4</v>
      </c>
      <c r="K35" s="21" t="str">
        <f>_xlfn.XLOOKUP(E35,E35:E84, Salespeople!D43:D92)</f>
        <v>Central</v>
      </c>
      <c r="L35" s="4" t="s">
        <v>397</v>
      </c>
      <c r="M35" s="21" t="str">
        <f>TEXT(B35,"mmm-yyyy")</f>
        <v>May-2026</v>
      </c>
      <c r="N35" s="42" t="str">
        <f>_xlfn.XLOOKUP(D35, D35:D84, Products!B9:B58)</f>
        <v>Software Product 8</v>
      </c>
    </row>
    <row r="36" spans="1:14">
      <c r="A36" s="21" t="s">
        <v>41</v>
      </c>
      <c r="B36" s="22">
        <v>46130</v>
      </c>
      <c r="C36" s="28" t="s">
        <v>42</v>
      </c>
      <c r="D36" s="21" t="s">
        <v>43</v>
      </c>
      <c r="E36" s="7" t="str">
        <f>_xlfn.XLOOKUP(L36, L36:L85, Salespeople!A26:A75)</f>
        <v>SP025</v>
      </c>
      <c r="F36" s="21" t="s">
        <v>29</v>
      </c>
      <c r="G36" s="21">
        <v>5</v>
      </c>
      <c r="H36" s="21">
        <v>5</v>
      </c>
      <c r="I36" s="23">
        <v>112109.5</v>
      </c>
      <c r="J36" s="21"/>
      <c r="K36" s="21" t="str">
        <f>_xlfn.XLOOKUP(E36,E36:E85, Salespeople!D32:D81)</f>
        <v>Central</v>
      </c>
      <c r="L36" s="4" t="s">
        <v>380</v>
      </c>
      <c r="M36" s="21" t="str">
        <f>TEXT(B36,"mmm-yyyy")</f>
        <v>Apr-2026</v>
      </c>
      <c r="N36" s="42" t="str">
        <f>_xlfn.XLOOKUP(D36, D36:D85, Products!B15:B64)</f>
        <v>Software Product 14</v>
      </c>
    </row>
    <row r="37" spans="1:14">
      <c r="A37" s="21" t="s">
        <v>100</v>
      </c>
      <c r="B37" s="22">
        <v>46142</v>
      </c>
      <c r="C37" s="28" t="s">
        <v>21</v>
      </c>
      <c r="D37" s="21" t="s">
        <v>43</v>
      </c>
      <c r="E37" s="7" t="str">
        <f>_xlfn.XLOOKUP(L37, L37:L86, Salespeople!A33:A82)</f>
        <v>SP032</v>
      </c>
      <c r="F37" s="21" t="s">
        <v>48</v>
      </c>
      <c r="G37" s="21">
        <v>12</v>
      </c>
      <c r="H37" s="21">
        <v>10</v>
      </c>
      <c r="I37" s="23">
        <v>0</v>
      </c>
      <c r="K37" s="21" t="str">
        <f>_xlfn.XLOOKUP(E37,E37:E86, Salespeople!D39:D88)</f>
        <v>North</v>
      </c>
      <c r="L37" s="4" t="s">
        <v>390</v>
      </c>
      <c r="M37" s="21" t="str">
        <f>TEXT(B37,"mmm-yyyy")</f>
        <v>Apr-2026</v>
      </c>
      <c r="N37" s="42" t="str">
        <f>_xlfn.XLOOKUP(D37, D37:D86, Products!B27:B76)</f>
        <v>Software Product 26</v>
      </c>
    </row>
    <row r="38" spans="1:14">
      <c r="A38" s="21" t="s">
        <v>153</v>
      </c>
      <c r="B38" s="22">
        <v>46070</v>
      </c>
      <c r="C38" s="28" t="s">
        <v>17</v>
      </c>
      <c r="D38" s="21" t="s">
        <v>145</v>
      </c>
      <c r="E38" s="7" t="str">
        <f>_xlfn.XLOOKUP(L38, L38:L87, Salespeople!A4:A53)</f>
        <v>SP003</v>
      </c>
      <c r="F38" s="21" t="s">
        <v>29</v>
      </c>
      <c r="G38" s="21">
        <v>5</v>
      </c>
      <c r="H38" s="21">
        <v>5</v>
      </c>
      <c r="I38" s="23">
        <v>74518</v>
      </c>
      <c r="K38" s="21" t="str">
        <f>_xlfn.XLOOKUP(E38,E38:E87, Salespeople!D12:D61)</f>
        <v>North</v>
      </c>
      <c r="L38" s="4" t="s">
        <v>346</v>
      </c>
      <c r="M38" s="21" t="str">
        <f>TEXT(B38,"mmm-yyyy")</f>
        <v>Feb-2026</v>
      </c>
      <c r="N38" s="42" t="str">
        <f>_xlfn.XLOOKUP(D38, D38:D87, Products!B6:B55)</f>
        <v>Software Product 5</v>
      </c>
    </row>
    <row r="39" spans="1:14">
      <c r="A39" s="21" t="s">
        <v>143</v>
      </c>
      <c r="B39" s="22">
        <v>46118</v>
      </c>
      <c r="C39" s="28" t="s">
        <v>144</v>
      </c>
      <c r="D39" s="21" t="s">
        <v>145</v>
      </c>
      <c r="E39" s="7" t="str">
        <f>_xlfn.XLOOKUP(L39, L39:L88, Salespeople!A20:A69)</f>
        <v>SP019</v>
      </c>
      <c r="F39" s="21" t="s">
        <v>14</v>
      </c>
      <c r="G39" s="21">
        <v>6</v>
      </c>
      <c r="H39" s="21">
        <v>0</v>
      </c>
      <c r="I39" s="23">
        <v>0</v>
      </c>
      <c r="K39" s="21" t="str">
        <f>_xlfn.XLOOKUP(E39,E39:E88, Salespeople!D27:D76)</f>
        <v>South</v>
      </c>
      <c r="L39" s="4" t="s">
        <v>374</v>
      </c>
      <c r="M39" s="21" t="str">
        <f>TEXT(B39,"mmm-yyyy")</f>
        <v>Apr-2026</v>
      </c>
      <c r="N39" s="42" t="str">
        <f>_xlfn.XLOOKUP(D39, D39:D88, Products!B13:B62)</f>
        <v>Software Product 12</v>
      </c>
    </row>
    <row r="40" spans="1:14">
      <c r="A40" s="21" t="s">
        <v>55</v>
      </c>
      <c r="B40" s="22">
        <v>46131</v>
      </c>
      <c r="C40" s="28" t="s">
        <v>31</v>
      </c>
      <c r="D40" s="21" t="s">
        <v>56</v>
      </c>
      <c r="E40" s="7" t="str">
        <f>_xlfn.XLOOKUP(L40, L40:L89, Salespeople!A27:A76)</f>
        <v>SP026</v>
      </c>
      <c r="F40" s="21" t="s">
        <v>29</v>
      </c>
      <c r="G40" s="21">
        <v>20</v>
      </c>
      <c r="H40" s="21">
        <v>5</v>
      </c>
      <c r="I40" s="23">
        <v>538498</v>
      </c>
      <c r="J40" s="21"/>
      <c r="K40" s="21" t="str">
        <f>_xlfn.XLOOKUP(E40,E40:E89, Salespeople!D33:D82)</f>
        <v>West</v>
      </c>
      <c r="L40" s="4" t="s">
        <v>382</v>
      </c>
      <c r="M40" s="21" t="str">
        <f>TEXT(B40,"mmm-yyyy")</f>
        <v>Apr-2026</v>
      </c>
      <c r="N40" s="42" t="str">
        <f>_xlfn.XLOOKUP(D40, D40:D89, Products!B25:B74)</f>
        <v>Software Product 24</v>
      </c>
    </row>
    <row r="41" spans="1:14">
      <c r="A41" s="21" t="s">
        <v>156</v>
      </c>
      <c r="B41" s="22">
        <v>46139</v>
      </c>
      <c r="C41" s="28" t="s">
        <v>72</v>
      </c>
      <c r="D41" s="21" t="s">
        <v>56</v>
      </c>
      <c r="E41" s="7" t="str">
        <f>_xlfn.XLOOKUP(L41, L41:L90, Salespeople!A31:A80)</f>
        <v>SP030</v>
      </c>
      <c r="F41" s="21" t="s">
        <v>29</v>
      </c>
      <c r="G41" s="21">
        <v>2</v>
      </c>
      <c r="H41" s="21">
        <v>5</v>
      </c>
      <c r="I41" s="23">
        <v>53849.8</v>
      </c>
      <c r="K41" s="21" t="str">
        <f>_xlfn.XLOOKUP(E41,E41:E90, Salespeople!D37:D86)</f>
        <v>East</v>
      </c>
      <c r="L41" s="4" t="s">
        <v>388</v>
      </c>
      <c r="M41" s="21" t="str">
        <f>TEXT(B41,"mmm-yyyy")</f>
        <v>Apr-2026</v>
      </c>
      <c r="N41" s="42" t="str">
        <f>_xlfn.XLOOKUP(D41, D41:D90, Products!B20:B69)</f>
        <v>Software Product 19</v>
      </c>
    </row>
    <row r="42" spans="1:14">
      <c r="A42" s="21" t="s">
        <v>68</v>
      </c>
      <c r="B42" s="22">
        <v>46077</v>
      </c>
      <c r="C42" s="28" t="s">
        <v>69</v>
      </c>
      <c r="D42" s="21" t="s">
        <v>70</v>
      </c>
      <c r="E42" s="7" t="str">
        <f>_xlfn.XLOOKUP(L42, L42:L91, Salespeople!A8:A57)</f>
        <v>SP007</v>
      </c>
      <c r="F42" s="21" t="s">
        <v>14</v>
      </c>
      <c r="G42" s="21">
        <v>14</v>
      </c>
      <c r="H42" s="21">
        <v>20</v>
      </c>
      <c r="I42" s="23">
        <v>0</v>
      </c>
      <c r="J42" s="21" t="s">
        <v>24</v>
      </c>
      <c r="K42" s="21" t="str">
        <f>_xlfn.XLOOKUP(E42,E42:E91, Salespeople!D16:D65)</f>
        <v>West</v>
      </c>
      <c r="L42" s="4" t="s">
        <v>355</v>
      </c>
      <c r="M42" s="21" t="str">
        <f>TEXT(B42,"mmm-yyyy")</f>
        <v>Feb-2026</v>
      </c>
      <c r="N42" s="42" t="str">
        <f>_xlfn.XLOOKUP(D42, D42:D91, Products!B48:B97)</f>
        <v>Software Product 47</v>
      </c>
    </row>
    <row r="43" spans="1:14">
      <c r="A43" s="21" t="s">
        <v>122</v>
      </c>
      <c r="B43" s="22">
        <v>46159</v>
      </c>
      <c r="C43" s="28" t="s">
        <v>123</v>
      </c>
      <c r="D43" s="21" t="s">
        <v>124</v>
      </c>
      <c r="E43" s="7" t="str">
        <f>_xlfn.XLOOKUP(L43, L43:L92, Salespeople!A40:A89)</f>
        <v>SP039</v>
      </c>
      <c r="F43" s="21" t="s">
        <v>29</v>
      </c>
      <c r="G43" s="21">
        <v>1</v>
      </c>
      <c r="H43" s="21">
        <v>0</v>
      </c>
      <c r="I43" s="23">
        <v>22315</v>
      </c>
      <c r="K43" s="21" t="str">
        <f>_xlfn.XLOOKUP(E43,E43:E92, Salespeople!D45:D94)</f>
        <v>West</v>
      </c>
      <c r="L43" s="4" t="s">
        <v>400</v>
      </c>
      <c r="M43" s="21" t="str">
        <f>TEXT(B43,"mmm-yyyy")</f>
        <v>May-2026</v>
      </c>
      <c r="N43" s="42" t="str">
        <f>_xlfn.XLOOKUP(D43, D43:D92, Products!B5:B54)</f>
        <v>Software Product 4</v>
      </c>
    </row>
    <row r="44" spans="1:14">
      <c r="A44" s="21" t="s">
        <v>75</v>
      </c>
      <c r="B44" s="22">
        <v>46074</v>
      </c>
      <c r="C44" s="28" t="s">
        <v>76</v>
      </c>
      <c r="D44" s="21" t="s">
        <v>53</v>
      </c>
      <c r="E44" s="7" t="str">
        <f>_xlfn.XLOOKUP(L44, L44:L93, Salespeople!A5:A54)</f>
        <v>SP004</v>
      </c>
      <c r="F44" s="21" t="s">
        <v>14</v>
      </c>
      <c r="G44" s="21">
        <v>1</v>
      </c>
      <c r="H44" s="21">
        <v>5</v>
      </c>
      <c r="I44" s="23">
        <v>0</v>
      </c>
      <c r="J44" s="21" t="s">
        <v>24</v>
      </c>
      <c r="K44" s="21" t="str">
        <f>_xlfn.XLOOKUP(E44,E44:E93, Salespeople!D13:D62)</f>
        <v>West</v>
      </c>
      <c r="L44" s="4" t="s">
        <v>349</v>
      </c>
      <c r="M44" s="21" t="str">
        <f>TEXT(B44,"mmm-yyyy")</f>
        <v>Feb-2026</v>
      </c>
      <c r="N44" s="42" t="str">
        <f>_xlfn.XLOOKUP(D44, D44:D93, Products!B22:B71)</f>
        <v>Software Product 21</v>
      </c>
    </row>
    <row r="45" spans="1:14">
      <c r="A45" s="21" t="s">
        <v>51</v>
      </c>
      <c r="B45" s="22">
        <v>46028</v>
      </c>
      <c r="C45" s="28" t="s">
        <v>52</v>
      </c>
      <c r="D45" s="21" t="s">
        <v>53</v>
      </c>
      <c r="E45" s="7" t="str">
        <f>_xlfn.XLOOKUP(L45, L45:L94, Salespeople!A24:A73)</f>
        <v>SP023</v>
      </c>
      <c r="F45" s="21" t="s">
        <v>29</v>
      </c>
      <c r="G45" s="21">
        <v>19</v>
      </c>
      <c r="H45" s="21">
        <v>20</v>
      </c>
      <c r="I45" s="23">
        <v>48594.400000000001</v>
      </c>
      <c r="J45" s="23"/>
      <c r="K45" s="21" t="str">
        <f>_xlfn.XLOOKUP(E45,E45:E94, Salespeople!D4:D53)</f>
        <v>Central</v>
      </c>
      <c r="L45" s="4" t="s">
        <v>378</v>
      </c>
      <c r="M45" s="21" t="str">
        <f>TEXT(B45,"mmm-yyyy")</f>
        <v>Jan-2026</v>
      </c>
      <c r="N45" s="42" t="str">
        <f>_xlfn.XLOOKUP(D45, D45:D94, Products!B32:B81)</f>
        <v>Software Product 31</v>
      </c>
    </row>
    <row r="46" spans="1:14">
      <c r="A46" s="21" t="s">
        <v>77</v>
      </c>
      <c r="B46" s="22">
        <v>46166</v>
      </c>
      <c r="C46" s="28" t="s">
        <v>78</v>
      </c>
      <c r="D46" s="21" t="s">
        <v>79</v>
      </c>
      <c r="E46" s="7" t="str">
        <f>_xlfn.XLOOKUP(L46, L46:L95, Salespeople!A42:A91)</f>
        <v>SP041</v>
      </c>
      <c r="F46" s="21" t="s">
        <v>14</v>
      </c>
      <c r="G46" s="21">
        <v>3</v>
      </c>
      <c r="H46" s="21">
        <v>0</v>
      </c>
      <c r="I46" s="23">
        <v>0</v>
      </c>
      <c r="J46" s="21" t="s">
        <v>24</v>
      </c>
      <c r="K46" s="21" t="str">
        <f>_xlfn.XLOOKUP(E46,E46:E95, Salespeople!D47:D96)</f>
        <v>Central</v>
      </c>
      <c r="L46" s="4" t="s">
        <v>403</v>
      </c>
      <c r="M46" s="21" t="str">
        <f>TEXT(B46,"mmm-yyyy")</f>
        <v>May-2026</v>
      </c>
      <c r="N46" s="42" t="str">
        <f>_xlfn.XLOOKUP(D46, D46:D95, Products!B28:B77)</f>
        <v>Software Product 27</v>
      </c>
    </row>
    <row r="47" spans="1:14">
      <c r="A47" s="21" t="s">
        <v>135</v>
      </c>
      <c r="B47" s="22">
        <v>46144</v>
      </c>
      <c r="C47" s="28" t="s">
        <v>11</v>
      </c>
      <c r="D47" s="21" t="s">
        <v>136</v>
      </c>
      <c r="E47" s="7" t="str">
        <f>_xlfn.XLOOKUP(L47, L47:L96, Salespeople!A34:A83)</f>
        <v>SP033</v>
      </c>
      <c r="F47" s="21" t="s">
        <v>29</v>
      </c>
      <c r="G47" s="21">
        <v>13</v>
      </c>
      <c r="H47" s="21">
        <v>20</v>
      </c>
      <c r="I47" s="23">
        <v>51272</v>
      </c>
      <c r="K47" s="21" t="str">
        <f>_xlfn.XLOOKUP(E47,E47:E96, Salespeople!D40:D89)</f>
        <v>West</v>
      </c>
      <c r="L47" s="4" t="s">
        <v>392</v>
      </c>
      <c r="M47" s="21" t="str">
        <f>TEXT(B47,"mmm-yyyy")</f>
        <v>May-2026</v>
      </c>
      <c r="N47" s="42" t="str">
        <f>_xlfn.XLOOKUP(D47, D47:D96, Products!B31:B80)</f>
        <v>Software Product 30</v>
      </c>
    </row>
    <row r="48" spans="1:14">
      <c r="A48" s="21" t="s">
        <v>91</v>
      </c>
      <c r="B48" s="22">
        <v>46180</v>
      </c>
      <c r="C48" s="28" t="s">
        <v>46</v>
      </c>
      <c r="D48" s="21" t="s">
        <v>92</v>
      </c>
      <c r="E48" s="7" t="str">
        <f>_xlfn.XLOOKUP(L48, L48:L97, Salespeople!A45:A94)</f>
        <v>SP044</v>
      </c>
      <c r="F48" s="21" t="s">
        <v>29</v>
      </c>
      <c r="G48" s="21">
        <v>16</v>
      </c>
      <c r="H48" s="21">
        <v>0</v>
      </c>
      <c r="I48" s="23">
        <v>236384</v>
      </c>
      <c r="J48" s="21"/>
      <c r="K48" s="21" t="str">
        <f>_xlfn.XLOOKUP(E48,E48:E97, Salespeople!D50:D99)</f>
        <v>Central</v>
      </c>
      <c r="L48" s="4" t="s">
        <v>409</v>
      </c>
      <c r="M48" s="21" t="str">
        <f>TEXT(B48,"mmm-yyyy")</f>
        <v>Jun-2026</v>
      </c>
      <c r="N48" s="42" t="str">
        <f>_xlfn.XLOOKUP(D48, D48:D97, Products!B51:B100)</f>
        <v>Software Product 50</v>
      </c>
    </row>
    <row r="49" spans="1:14">
      <c r="A49" s="21" t="s">
        <v>132</v>
      </c>
      <c r="B49" s="22">
        <v>46080</v>
      </c>
      <c r="C49" s="28" t="s">
        <v>133</v>
      </c>
      <c r="D49" s="21" t="s">
        <v>39</v>
      </c>
      <c r="E49" s="7" t="str">
        <f>_xlfn.XLOOKUP(L49, L49:L98, Salespeople!A9:A58)</f>
        <v>SP008</v>
      </c>
      <c r="F49" s="21" t="s">
        <v>29</v>
      </c>
      <c r="G49" s="21">
        <v>16</v>
      </c>
      <c r="H49" s="21">
        <v>20</v>
      </c>
      <c r="I49" s="23">
        <v>157939.20000000001</v>
      </c>
      <c r="K49" s="21" t="str">
        <f>_xlfn.XLOOKUP(E49,E49:E98, Salespeople!D17:D66)</f>
        <v>East</v>
      </c>
      <c r="L49" s="4" t="s">
        <v>358</v>
      </c>
      <c r="M49" s="21" t="str">
        <f>TEXT(B49,"mmm-yyyy")</f>
        <v>Feb-2026</v>
      </c>
      <c r="N49" s="42" t="str">
        <f>_xlfn.XLOOKUP(D49, D49:D98, Products!B12:B61)</f>
        <v>Software Product 11</v>
      </c>
    </row>
    <row r="50" spans="1:14">
      <c r="A50" s="21" t="s">
        <v>37</v>
      </c>
      <c r="B50" s="22">
        <v>46082</v>
      </c>
      <c r="C50" s="28" t="s">
        <v>38</v>
      </c>
      <c r="D50" s="21" t="s">
        <v>39</v>
      </c>
      <c r="E50" s="7" t="str">
        <f>_xlfn.XLOOKUP(L50, L50:L99, Salespeople!A11:A60)</f>
        <v>SP010</v>
      </c>
      <c r="F50" s="21" t="s">
        <v>29</v>
      </c>
      <c r="G50" s="21">
        <v>11</v>
      </c>
      <c r="H50" s="21">
        <v>0</v>
      </c>
      <c r="I50" s="23">
        <v>135729</v>
      </c>
      <c r="J50" s="21"/>
      <c r="K50" s="21" t="str">
        <f>_xlfn.XLOOKUP(E50,E50:E99, Salespeople!D19:D68)</f>
        <v>North</v>
      </c>
      <c r="L50" s="4" t="s">
        <v>362</v>
      </c>
      <c r="M50" s="21" t="str">
        <f>TEXT(B50,"mmm-yyyy")</f>
        <v>Mar-2026</v>
      </c>
      <c r="N50" s="42" t="str">
        <f>_xlfn.XLOOKUP(D50, D50:D99, Products!B38:B87)</f>
        <v>Software Product 37</v>
      </c>
    </row>
    <row r="51" spans="1:14">
      <c r="A51" s="21" t="s">
        <v>98</v>
      </c>
      <c r="B51" s="22">
        <v>46167</v>
      </c>
      <c r="C51" s="28" t="s">
        <v>99</v>
      </c>
      <c r="D51" s="21" t="s">
        <v>39</v>
      </c>
      <c r="E51" s="12" t="str">
        <f>_xlfn.XLOOKUP(L51, L51:L100, Salespeople!A43:A92)</f>
        <v>SP042</v>
      </c>
      <c r="F51" s="21" t="s">
        <v>48</v>
      </c>
      <c r="G51" s="21">
        <v>6</v>
      </c>
      <c r="H51" s="21">
        <v>20</v>
      </c>
      <c r="I51" s="23">
        <v>0</v>
      </c>
      <c r="K51" s="21" t="str">
        <f>_xlfn.XLOOKUP(E51,E51:E100, Salespeople!D48:D97)</f>
        <v>Central</v>
      </c>
      <c r="L51" s="6" t="s">
        <v>405</v>
      </c>
      <c r="M51" s="21" t="str">
        <f>TEXT(B51,"mmm-yyyy")</f>
        <v>May-2026</v>
      </c>
      <c r="N51" s="42" t="str">
        <f>_xlfn.XLOOKUP(D51, D51:D100, Products!B46:B95)</f>
        <v>Software Product 45</v>
      </c>
    </row>
  </sheetData>
  <phoneticPr fontId="5" type="noConversion"/>
  <conditionalFormatting sqref="A1:A1048576">
    <cfRule type="duplicateValues" dxfId="3" priority="3"/>
  </conditionalFormatting>
  <conditionalFormatting sqref="I1:I51 I53:I1048576">
    <cfRule type="top10" dxfId="2" priority="1" bottom="1" rank="10"/>
    <cfRule type="top10" dxfId="1" priority="2" rank="10"/>
  </conditionalFormatting>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14A3-5639-4044-8EDA-677AA31CF62F}">
  <dimension ref="A1:B4"/>
  <sheetViews>
    <sheetView workbookViewId="0">
      <selection activeCell="G7" sqref="G7"/>
    </sheetView>
  </sheetViews>
  <sheetFormatPr defaultRowHeight="14.5"/>
  <cols>
    <col min="1" max="1" width="13.36328125" customWidth="1"/>
    <col min="2" max="2" width="21.1796875" customWidth="1"/>
  </cols>
  <sheetData>
    <row r="1" spans="1:2">
      <c r="A1" t="s">
        <v>9</v>
      </c>
      <c r="B1" t="s">
        <v>621</v>
      </c>
    </row>
    <row r="2" spans="1:2">
      <c r="A2" s="46" t="s">
        <v>24</v>
      </c>
      <c r="B2">
        <f>COUNTIFS(Sales!$F$2:$F$51,"Lost",Sales!$J$2:$J$51,A2)</f>
        <v>5</v>
      </c>
    </row>
    <row r="3" spans="1:2">
      <c r="A3" s="47" t="s">
        <v>15</v>
      </c>
      <c r="B3">
        <f>COUNTIFS(Sales!$F$2:$F$51,"Lost",Sales!$J$2:$J$51,A3)</f>
        <v>3</v>
      </c>
    </row>
    <row r="4" spans="1:2">
      <c r="A4" s="46" t="s">
        <v>97</v>
      </c>
      <c r="B4">
        <f>COUNTIFS(Sales!$F$2:$F$51,"Lost",Sales!$J$2:$J$51,A4)</f>
        <v>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44347-982F-4CC1-9EAC-7A4810418F16}">
  <dimension ref="A1:D52"/>
  <sheetViews>
    <sheetView topLeftCell="A40" workbookViewId="0">
      <selection activeCell="H49" sqref="H49"/>
    </sheetView>
  </sheetViews>
  <sheetFormatPr defaultRowHeight="14.5"/>
  <cols>
    <col min="1" max="1" width="16.81640625" bestFit="1" customWidth="1"/>
    <col min="2" max="2" width="10.453125" bestFit="1" customWidth="1"/>
    <col min="3" max="3" width="9.81640625" bestFit="1" customWidth="1"/>
  </cols>
  <sheetData>
    <row r="1" spans="1:4">
      <c r="A1" t="s">
        <v>332</v>
      </c>
      <c r="B1" t="s">
        <v>618</v>
      </c>
      <c r="C1" t="s">
        <v>619</v>
      </c>
      <c r="D1" t="s">
        <v>617</v>
      </c>
    </row>
    <row r="2" spans="1:4">
      <c r="A2" s="43" t="s">
        <v>337</v>
      </c>
      <c r="B2">
        <f>COUNTIFS(Sales!$L$2:$L$51,A2,Sales!$F$2:$F$51,"Won")</f>
        <v>0</v>
      </c>
      <c r="C2">
        <f>COUNTIFS(Sales!$L$2:$L$51,A2,Sales!$F$2:$F$51,"Lost")</f>
        <v>1</v>
      </c>
      <c r="D2">
        <f>IFERROR(B2/(B2+C2),0)</f>
        <v>0</v>
      </c>
    </row>
    <row r="3" spans="1:4">
      <c r="A3" s="44" t="s">
        <v>341</v>
      </c>
      <c r="B3">
        <f>COUNTIFS(Sales!$L$2:$L$51,A3,Sales!$F$2:$F$51,"Won")</f>
        <v>1</v>
      </c>
      <c r="C3">
        <f>COUNTIFS(Sales!$L$2:$L$51,A3,Sales!$F$2:$F$51,"Lost")</f>
        <v>0</v>
      </c>
      <c r="D3">
        <f t="shared" ref="D3:D51" si="0">IFERROR(B3/(B3+C3),0)</f>
        <v>1</v>
      </c>
    </row>
    <row r="4" spans="1:4">
      <c r="A4" s="43" t="s">
        <v>346</v>
      </c>
      <c r="B4">
        <f>COUNTIFS(Sales!$L$2:$L$51,A4,Sales!$F$2:$F$51,"Won")</f>
        <v>1</v>
      </c>
      <c r="C4">
        <f>COUNTIFS(Sales!$L$2:$L$51,A4,Sales!$F$2:$F$51,"Lost")</f>
        <v>0</v>
      </c>
      <c r="D4">
        <f t="shared" si="0"/>
        <v>1</v>
      </c>
    </row>
    <row r="5" spans="1:4">
      <c r="A5" s="44" t="s">
        <v>349</v>
      </c>
      <c r="B5">
        <f>COUNTIFS(Sales!$L$2:$L$51,A5,Sales!$F$2:$F$51,"Won")</f>
        <v>0</v>
      </c>
      <c r="C5">
        <f>COUNTIFS(Sales!$L$2:$L$51,A5,Sales!$F$2:$F$51,"Lost")</f>
        <v>1</v>
      </c>
      <c r="D5">
        <f t="shared" si="0"/>
        <v>0</v>
      </c>
    </row>
    <row r="6" spans="1:4">
      <c r="A6" s="43" t="s">
        <v>352</v>
      </c>
      <c r="B6">
        <f>COUNTIFS(Sales!$L$2:$L$51,A6,Sales!$F$2:$F$51,"Won")</f>
        <v>1</v>
      </c>
      <c r="C6">
        <f>COUNTIFS(Sales!$L$2:$L$51,A6,Sales!$F$2:$F$51,"Lost")</f>
        <v>0</v>
      </c>
      <c r="D6">
        <f t="shared" si="0"/>
        <v>1</v>
      </c>
    </row>
    <row r="7" spans="1:4">
      <c r="A7" s="44" t="s">
        <v>354</v>
      </c>
      <c r="B7">
        <f>COUNTIFS(Sales!$L$2:$L$51,A7,Sales!$F$2:$F$51,"Won")</f>
        <v>0</v>
      </c>
      <c r="C7">
        <f>COUNTIFS(Sales!$L$2:$L$51,A7,Sales!$F$2:$F$51,"Lost")</f>
        <v>1</v>
      </c>
      <c r="D7">
        <f t="shared" si="0"/>
        <v>0</v>
      </c>
    </row>
    <row r="8" spans="1:4">
      <c r="A8" s="43" t="s">
        <v>355</v>
      </c>
      <c r="B8">
        <f>COUNTIFS(Sales!$L$2:$L$51,A8,Sales!$F$2:$F$51,"Won")</f>
        <v>0</v>
      </c>
      <c r="C8">
        <f>COUNTIFS(Sales!$L$2:$L$51,A8,Sales!$F$2:$F$51,"Lost")</f>
        <v>1</v>
      </c>
      <c r="D8">
        <f t="shared" si="0"/>
        <v>0</v>
      </c>
    </row>
    <row r="9" spans="1:4">
      <c r="A9" s="44" t="s">
        <v>358</v>
      </c>
      <c r="B9">
        <f>COUNTIFS(Sales!$L$2:$L$51,A9,Sales!$F$2:$F$51,"Won")</f>
        <v>1</v>
      </c>
      <c r="C9">
        <f>COUNTIFS(Sales!$L$2:$L$51,A9,Sales!$F$2:$F$51,"Lost")</f>
        <v>0</v>
      </c>
      <c r="D9">
        <f t="shared" si="0"/>
        <v>1</v>
      </c>
    </row>
    <row r="10" spans="1:4">
      <c r="A10" s="43" t="s">
        <v>360</v>
      </c>
      <c r="B10">
        <f>COUNTIFS(Sales!$L$2:$L$51,A10,Sales!$F$2:$F$51,"Won")</f>
        <v>0</v>
      </c>
      <c r="C10">
        <f>COUNTIFS(Sales!$L$2:$L$51,A10,Sales!$F$2:$F$51,"Lost")</f>
        <v>1</v>
      </c>
      <c r="D10">
        <f t="shared" si="0"/>
        <v>0</v>
      </c>
    </row>
    <row r="11" spans="1:4">
      <c r="A11" s="44" t="s">
        <v>362</v>
      </c>
      <c r="B11">
        <f>COUNTIFS(Sales!$L$2:$L$51,A11,Sales!$F$2:$F$51,"Won")</f>
        <v>1</v>
      </c>
      <c r="C11">
        <f>COUNTIFS(Sales!$L$2:$L$51,A11,Sales!$F$2:$F$51,"Lost")</f>
        <v>0</v>
      </c>
      <c r="D11">
        <f t="shared" si="0"/>
        <v>1</v>
      </c>
    </row>
    <row r="12" spans="1:4">
      <c r="A12" s="43" t="s">
        <v>365</v>
      </c>
      <c r="B12">
        <f>COUNTIFS(Sales!$L$2:$L$51,A12,Sales!$F$2:$F$51,"Won")</f>
        <v>0</v>
      </c>
      <c r="C12">
        <f>COUNTIFS(Sales!$L$2:$L$51,A12,Sales!$F$2:$F$51,"Lost")</f>
        <v>0</v>
      </c>
      <c r="D12">
        <f t="shared" si="0"/>
        <v>0</v>
      </c>
    </row>
    <row r="13" spans="1:4">
      <c r="A13" s="44" t="s">
        <v>366</v>
      </c>
      <c r="B13">
        <f>COUNTIFS(Sales!$L$2:$L$51,A13,Sales!$F$2:$F$51,"Won")</f>
        <v>0</v>
      </c>
      <c r="C13">
        <f>COUNTIFS(Sales!$L$2:$L$51,A13,Sales!$F$2:$F$51,"Lost")</f>
        <v>0</v>
      </c>
      <c r="D13">
        <f t="shared" si="0"/>
        <v>0</v>
      </c>
    </row>
    <row r="14" spans="1:4">
      <c r="A14" s="43" t="s">
        <v>367</v>
      </c>
      <c r="B14">
        <f>COUNTIFS(Sales!$L$2:$L$51,A14,Sales!$F$2:$F$51,"Won")</f>
        <v>0</v>
      </c>
      <c r="C14">
        <f>COUNTIFS(Sales!$L$2:$L$51,A14,Sales!$F$2:$F$51,"Lost")</f>
        <v>1</v>
      </c>
      <c r="D14">
        <f t="shared" si="0"/>
        <v>0</v>
      </c>
    </row>
    <row r="15" spans="1:4">
      <c r="A15" s="44" t="s">
        <v>368</v>
      </c>
      <c r="B15">
        <f>COUNTIFS(Sales!$L$2:$L$51,A15,Sales!$F$2:$F$51,"Won")</f>
        <v>0</v>
      </c>
      <c r="C15">
        <f>COUNTIFS(Sales!$L$2:$L$51,A15,Sales!$F$2:$F$51,"Lost")</f>
        <v>1</v>
      </c>
      <c r="D15">
        <f t="shared" si="0"/>
        <v>0</v>
      </c>
    </row>
    <row r="16" spans="1:4">
      <c r="A16" s="43" t="s">
        <v>370</v>
      </c>
      <c r="B16">
        <f>COUNTIFS(Sales!$L$2:$L$51,A16,Sales!$F$2:$F$51,"Won")</f>
        <v>0</v>
      </c>
      <c r="C16">
        <f>COUNTIFS(Sales!$L$2:$L$51,A16,Sales!$F$2:$F$51,"Lost")</f>
        <v>0</v>
      </c>
      <c r="D16">
        <f t="shared" si="0"/>
        <v>0</v>
      </c>
    </row>
    <row r="17" spans="1:4">
      <c r="A17" s="44" t="s">
        <v>371</v>
      </c>
      <c r="B17">
        <f>COUNTIFS(Sales!$L$2:$L$51,A17,Sales!$F$2:$F$51,"Won")</f>
        <v>1</v>
      </c>
      <c r="C17">
        <f>COUNTIFS(Sales!$L$2:$L$51,A17,Sales!$F$2:$F$51,"Lost")</f>
        <v>0</v>
      </c>
      <c r="D17">
        <f t="shared" si="0"/>
        <v>1</v>
      </c>
    </row>
    <row r="18" spans="1:4">
      <c r="A18" s="43" t="s">
        <v>372</v>
      </c>
      <c r="B18">
        <f>COUNTIFS(Sales!$L$2:$L$51,A18,Sales!$F$2:$F$51,"Won")</f>
        <v>1</v>
      </c>
      <c r="C18">
        <f>COUNTIFS(Sales!$L$2:$L$51,A18,Sales!$F$2:$F$51,"Lost")</f>
        <v>0</v>
      </c>
      <c r="D18">
        <f t="shared" si="0"/>
        <v>1</v>
      </c>
    </row>
    <row r="19" spans="1:4">
      <c r="A19" s="44" t="s">
        <v>373</v>
      </c>
      <c r="B19">
        <f>COUNTIFS(Sales!$L$2:$L$51,A19,Sales!$F$2:$F$51,"Won")</f>
        <v>0</v>
      </c>
      <c r="C19">
        <f>COUNTIFS(Sales!$L$2:$L$51,A19,Sales!$F$2:$F$51,"Lost")</f>
        <v>1</v>
      </c>
      <c r="D19">
        <f t="shared" si="0"/>
        <v>0</v>
      </c>
    </row>
    <row r="20" spans="1:4">
      <c r="A20" s="43" t="s">
        <v>374</v>
      </c>
      <c r="B20">
        <f>COUNTIFS(Sales!$L$2:$L$51,A20,Sales!$F$2:$F$51,"Won")</f>
        <v>0</v>
      </c>
      <c r="C20">
        <f>COUNTIFS(Sales!$L$2:$L$51,A20,Sales!$F$2:$F$51,"Lost")</f>
        <v>1</v>
      </c>
      <c r="D20">
        <f t="shared" si="0"/>
        <v>0</v>
      </c>
    </row>
    <row r="21" spans="1:4">
      <c r="A21" s="44" t="s">
        <v>375</v>
      </c>
      <c r="B21">
        <f>COUNTIFS(Sales!$L$2:$L$51,A21,Sales!$F$2:$F$51,"Won")</f>
        <v>1</v>
      </c>
      <c r="C21">
        <f>COUNTIFS(Sales!$L$2:$L$51,A21,Sales!$F$2:$F$51,"Lost")</f>
        <v>0</v>
      </c>
      <c r="D21">
        <f t="shared" si="0"/>
        <v>1</v>
      </c>
    </row>
    <row r="22" spans="1:4">
      <c r="A22" s="43" t="s">
        <v>376</v>
      </c>
      <c r="B22">
        <f>COUNTIFS(Sales!$L$2:$L$51,A22,Sales!$F$2:$F$51,"Won")</f>
        <v>1</v>
      </c>
      <c r="C22">
        <f>COUNTIFS(Sales!$L$2:$L$51,A22,Sales!$F$2:$F$51,"Lost")</f>
        <v>0</v>
      </c>
      <c r="D22">
        <f t="shared" si="0"/>
        <v>1</v>
      </c>
    </row>
    <row r="23" spans="1:4">
      <c r="A23" s="44" t="s">
        <v>377</v>
      </c>
      <c r="B23">
        <f>COUNTIFS(Sales!$L$2:$L$51,A23,Sales!$F$2:$F$51,"Won")</f>
        <v>1</v>
      </c>
      <c r="C23">
        <f>COUNTIFS(Sales!$L$2:$L$51,A23,Sales!$F$2:$F$51,"Lost")</f>
        <v>0</v>
      </c>
      <c r="D23">
        <f t="shared" si="0"/>
        <v>1</v>
      </c>
    </row>
    <row r="24" spans="1:4">
      <c r="A24" s="43" t="s">
        <v>378</v>
      </c>
      <c r="B24">
        <f>COUNTIFS(Sales!$L$2:$L$51,A24,Sales!$F$2:$F$51,"Won")</f>
        <v>1</v>
      </c>
      <c r="C24">
        <f>COUNTIFS(Sales!$L$2:$L$51,A24,Sales!$F$2:$F$51,"Lost")</f>
        <v>0</v>
      </c>
      <c r="D24">
        <f t="shared" si="0"/>
        <v>1</v>
      </c>
    </row>
    <row r="25" spans="1:4">
      <c r="A25" s="44" t="s">
        <v>379</v>
      </c>
      <c r="B25">
        <f>COUNTIFS(Sales!$L$2:$L$51,A25,Sales!$F$2:$F$51,"Won")</f>
        <v>1</v>
      </c>
      <c r="C25">
        <f>COUNTIFS(Sales!$L$2:$L$51,A25,Sales!$F$2:$F$51,"Lost")</f>
        <v>0</v>
      </c>
      <c r="D25">
        <f t="shared" si="0"/>
        <v>1</v>
      </c>
    </row>
    <row r="26" spans="1:4">
      <c r="A26" s="43" t="s">
        <v>380</v>
      </c>
      <c r="B26">
        <f>COUNTIFS(Sales!$L$2:$L$51,A26,Sales!$F$2:$F$51,"Won")</f>
        <v>1</v>
      </c>
      <c r="C26">
        <f>COUNTIFS(Sales!$L$2:$L$51,A26,Sales!$F$2:$F$51,"Lost")</f>
        <v>0</v>
      </c>
      <c r="D26">
        <f t="shared" si="0"/>
        <v>1</v>
      </c>
    </row>
    <row r="27" spans="1:4">
      <c r="A27" s="44" t="s">
        <v>382</v>
      </c>
      <c r="B27">
        <f>COUNTIFS(Sales!$L$2:$L$51,A27,Sales!$F$2:$F$51,"Won")</f>
        <v>1</v>
      </c>
      <c r="C27">
        <f>COUNTIFS(Sales!$L$2:$L$51,A27,Sales!$F$2:$F$51,"Lost")</f>
        <v>0</v>
      </c>
      <c r="D27">
        <f t="shared" si="0"/>
        <v>1</v>
      </c>
    </row>
    <row r="28" spans="1:4">
      <c r="A28" s="43" t="s">
        <v>384</v>
      </c>
      <c r="B28">
        <f>COUNTIFS(Sales!$L$2:$L$51,A28,Sales!$F$2:$F$51,"Won")</f>
        <v>1</v>
      </c>
      <c r="C28">
        <f>COUNTIFS(Sales!$L$2:$L$51,A28,Sales!$F$2:$F$51,"Lost")</f>
        <v>0</v>
      </c>
      <c r="D28">
        <f t="shared" si="0"/>
        <v>1</v>
      </c>
    </row>
    <row r="29" spans="1:4">
      <c r="A29" s="44" t="s">
        <v>385</v>
      </c>
      <c r="B29">
        <f>COUNTIFS(Sales!$L$2:$L$51,A29,Sales!$F$2:$F$51,"Won")</f>
        <v>0</v>
      </c>
      <c r="C29">
        <f>COUNTIFS(Sales!$L$2:$L$51,A29,Sales!$F$2:$F$51,"Lost")</f>
        <v>1</v>
      </c>
      <c r="D29">
        <f t="shared" si="0"/>
        <v>0</v>
      </c>
    </row>
    <row r="30" spans="1:4">
      <c r="A30" s="43" t="s">
        <v>387</v>
      </c>
      <c r="B30">
        <f>COUNTIFS(Sales!$L$2:$L$51,A30,Sales!$F$2:$F$51,"Won")</f>
        <v>1</v>
      </c>
      <c r="C30">
        <f>COUNTIFS(Sales!$L$2:$L$51,A30,Sales!$F$2:$F$51,"Lost")</f>
        <v>0</v>
      </c>
      <c r="D30">
        <f t="shared" si="0"/>
        <v>1</v>
      </c>
    </row>
    <row r="31" spans="1:4">
      <c r="A31" s="44" t="s">
        <v>388</v>
      </c>
      <c r="B31">
        <f>COUNTIFS(Sales!$L$2:$L$51,A31,Sales!$F$2:$F$51,"Won")</f>
        <v>1</v>
      </c>
      <c r="C31">
        <f>COUNTIFS(Sales!$L$2:$L$51,A31,Sales!$F$2:$F$51,"Lost")</f>
        <v>0</v>
      </c>
      <c r="D31">
        <f t="shared" si="0"/>
        <v>1</v>
      </c>
    </row>
    <row r="32" spans="1:4">
      <c r="A32" s="43" t="s">
        <v>389</v>
      </c>
      <c r="B32">
        <f>COUNTIFS(Sales!$L$2:$L$51,A32,Sales!$F$2:$F$51,"Won")</f>
        <v>1</v>
      </c>
      <c r="C32">
        <f>COUNTIFS(Sales!$L$2:$L$51,A32,Sales!$F$2:$F$51,"Lost")</f>
        <v>0</v>
      </c>
      <c r="D32">
        <f t="shared" si="0"/>
        <v>1</v>
      </c>
    </row>
    <row r="33" spans="1:4">
      <c r="A33" s="44" t="s">
        <v>390</v>
      </c>
      <c r="B33">
        <f>COUNTIFS(Sales!$L$2:$L$51,A33,Sales!$F$2:$F$51,"Won")</f>
        <v>0</v>
      </c>
      <c r="C33">
        <f>COUNTIFS(Sales!$L$2:$L$51,A33,Sales!$F$2:$F$51,"Lost")</f>
        <v>0</v>
      </c>
      <c r="D33">
        <f t="shared" si="0"/>
        <v>0</v>
      </c>
    </row>
    <row r="34" spans="1:4">
      <c r="A34" s="43" t="s">
        <v>392</v>
      </c>
      <c r="B34">
        <f>COUNTIFS(Sales!$L$2:$L$51,A34,Sales!$F$2:$F$51,"Won")</f>
        <v>1</v>
      </c>
      <c r="C34">
        <f>COUNTIFS(Sales!$L$2:$L$51,A34,Sales!$F$2:$F$51,"Lost")</f>
        <v>0</v>
      </c>
      <c r="D34">
        <f t="shared" si="0"/>
        <v>1</v>
      </c>
    </row>
    <row r="35" spans="1:4">
      <c r="A35" s="44" t="s">
        <v>394</v>
      </c>
      <c r="B35">
        <f>COUNTIFS(Sales!$L$2:$L$51,A35,Sales!$F$2:$F$51,"Won")</f>
        <v>1</v>
      </c>
      <c r="C35">
        <f>COUNTIFS(Sales!$L$2:$L$51,A35,Sales!$F$2:$F$51,"Lost")</f>
        <v>0</v>
      </c>
      <c r="D35">
        <f t="shared" si="0"/>
        <v>1</v>
      </c>
    </row>
    <row r="36" spans="1:4">
      <c r="A36" s="43" t="s">
        <v>395</v>
      </c>
      <c r="B36">
        <f>COUNTIFS(Sales!$L$2:$L$51,A36,Sales!$F$2:$F$51,"Won")</f>
        <v>0</v>
      </c>
      <c r="C36">
        <f>COUNTIFS(Sales!$L$2:$L$51,A36,Sales!$F$2:$F$51,"Lost")</f>
        <v>0</v>
      </c>
      <c r="D36">
        <f t="shared" si="0"/>
        <v>0</v>
      </c>
    </row>
    <row r="37" spans="1:4">
      <c r="A37" s="44" t="s">
        <v>396</v>
      </c>
      <c r="B37">
        <f>COUNTIFS(Sales!$L$2:$L$51,A37,Sales!$F$2:$F$51,"Won")</f>
        <v>0</v>
      </c>
      <c r="C37">
        <f>COUNTIFS(Sales!$L$2:$L$51,A37,Sales!$F$2:$F$51,"Lost")</f>
        <v>0</v>
      </c>
      <c r="D37">
        <f t="shared" si="0"/>
        <v>0</v>
      </c>
    </row>
    <row r="38" spans="1:4">
      <c r="A38" s="43" t="s">
        <v>397</v>
      </c>
      <c r="B38">
        <f>COUNTIFS(Sales!$L$2:$L$51,A38,Sales!$F$2:$F$51,"Won")</f>
        <v>1</v>
      </c>
      <c r="C38">
        <f>COUNTIFS(Sales!$L$2:$L$51,A38,Sales!$F$2:$F$51,"Lost")</f>
        <v>0</v>
      </c>
      <c r="D38">
        <f t="shared" si="0"/>
        <v>1</v>
      </c>
    </row>
    <row r="39" spans="1:4">
      <c r="A39" s="44" t="s">
        <v>399</v>
      </c>
      <c r="B39">
        <f>COUNTIFS(Sales!$L$2:$L$51,A39,Sales!$F$2:$F$51,"Won")</f>
        <v>1</v>
      </c>
      <c r="C39">
        <f>COUNTIFS(Sales!$L$2:$L$51,A39,Sales!$F$2:$F$51,"Lost")</f>
        <v>0</v>
      </c>
      <c r="D39">
        <f t="shared" si="0"/>
        <v>1</v>
      </c>
    </row>
    <row r="40" spans="1:4">
      <c r="A40" s="43" t="s">
        <v>400</v>
      </c>
      <c r="B40">
        <f>COUNTIFS(Sales!$L$2:$L$51,A40,Sales!$F$2:$F$51,"Won")</f>
        <v>1</v>
      </c>
      <c r="C40">
        <f>COUNTIFS(Sales!$L$2:$L$51,A40,Sales!$F$2:$F$51,"Lost")</f>
        <v>0</v>
      </c>
      <c r="D40">
        <f t="shared" si="0"/>
        <v>1</v>
      </c>
    </row>
    <row r="41" spans="1:4">
      <c r="A41" s="44" t="s">
        <v>402</v>
      </c>
      <c r="B41">
        <f>COUNTIFS(Sales!$L$2:$L$51,A41,Sales!$F$2:$F$51,"Won")</f>
        <v>1</v>
      </c>
      <c r="C41">
        <f>COUNTIFS(Sales!$L$2:$L$51,A41,Sales!$F$2:$F$51,"Lost")</f>
        <v>0</v>
      </c>
      <c r="D41">
        <f t="shared" si="0"/>
        <v>1</v>
      </c>
    </row>
    <row r="42" spans="1:4">
      <c r="A42" s="43" t="s">
        <v>403</v>
      </c>
      <c r="B42">
        <f>COUNTIFS(Sales!$L$2:$L$51,A42,Sales!$F$2:$F$51,"Won")</f>
        <v>0</v>
      </c>
      <c r="C42">
        <f>COUNTIFS(Sales!$L$2:$L$51,A42,Sales!$F$2:$F$51,"Lost")</f>
        <v>1</v>
      </c>
      <c r="D42">
        <f t="shared" si="0"/>
        <v>0</v>
      </c>
    </row>
    <row r="43" spans="1:4">
      <c r="A43" s="44" t="s">
        <v>405</v>
      </c>
      <c r="B43">
        <f>COUNTIFS(Sales!$L$2:$L$51,A43,Sales!$F$2:$F$51,"Won")</f>
        <v>0</v>
      </c>
      <c r="C43">
        <f>COUNTIFS(Sales!$L$2:$L$51,A43,Sales!$F$2:$F$51,"Lost")</f>
        <v>0</v>
      </c>
      <c r="D43">
        <f t="shared" si="0"/>
        <v>0</v>
      </c>
    </row>
    <row r="44" spans="1:4">
      <c r="A44" s="43" t="s">
        <v>407</v>
      </c>
      <c r="B44">
        <f>COUNTIFS(Sales!$L$2:$L$51,A44,Sales!$F$2:$F$51,"Won")</f>
        <v>0</v>
      </c>
      <c r="C44">
        <f>COUNTIFS(Sales!$L$2:$L$51,A44,Sales!$F$2:$F$51,"Lost")</f>
        <v>1</v>
      </c>
      <c r="D44">
        <f t="shared" si="0"/>
        <v>0</v>
      </c>
    </row>
    <row r="45" spans="1:4">
      <c r="A45" s="44" t="s">
        <v>409</v>
      </c>
      <c r="B45">
        <f>COUNTIFS(Sales!$L$2:$L$51,A45,Sales!$F$2:$F$51,"Won")</f>
        <v>1</v>
      </c>
      <c r="C45">
        <f>COUNTIFS(Sales!$L$2:$L$51,A45,Sales!$F$2:$F$51,"Lost")</f>
        <v>0</v>
      </c>
      <c r="D45">
        <f t="shared" si="0"/>
        <v>1</v>
      </c>
    </row>
    <row r="46" spans="1:4">
      <c r="A46" s="43" t="s">
        <v>411</v>
      </c>
      <c r="B46">
        <f>COUNTIFS(Sales!$L$2:$L$51,A46,Sales!$F$2:$F$51,"Won")</f>
        <v>1</v>
      </c>
      <c r="C46">
        <f>COUNTIFS(Sales!$L$2:$L$51,A46,Sales!$F$2:$F$51,"Lost")</f>
        <v>0</v>
      </c>
      <c r="D46">
        <f t="shared" si="0"/>
        <v>1</v>
      </c>
    </row>
    <row r="47" spans="1:4">
      <c r="A47" s="44" t="s">
        <v>413</v>
      </c>
      <c r="B47">
        <f>COUNTIFS(Sales!$L$2:$L$51,A47,Sales!$F$2:$F$51,"Won")</f>
        <v>1</v>
      </c>
      <c r="C47">
        <f>COUNTIFS(Sales!$L$2:$L$51,A47,Sales!$F$2:$F$51,"Lost")</f>
        <v>0</v>
      </c>
      <c r="D47">
        <f t="shared" si="0"/>
        <v>1</v>
      </c>
    </row>
    <row r="48" spans="1:4">
      <c r="A48" s="43" t="s">
        <v>414</v>
      </c>
      <c r="B48">
        <f>COUNTIFS(Sales!$L$2:$L$51,A48,Sales!$F$2:$F$51,"Won")</f>
        <v>0</v>
      </c>
      <c r="C48">
        <f>COUNTIFS(Sales!$L$2:$L$51,A48,Sales!$F$2:$F$51,"Lost")</f>
        <v>1</v>
      </c>
      <c r="D48">
        <f t="shared" si="0"/>
        <v>0</v>
      </c>
    </row>
    <row r="49" spans="1:4">
      <c r="A49" s="44" t="s">
        <v>415</v>
      </c>
      <c r="B49">
        <f>COUNTIFS(Sales!$L$2:$L$51,A49,Sales!$F$2:$F$51,"Won")</f>
        <v>1</v>
      </c>
      <c r="C49">
        <f>COUNTIFS(Sales!$L$2:$L$51,A49,Sales!$F$2:$F$51,"Lost")</f>
        <v>0</v>
      </c>
      <c r="D49">
        <f t="shared" si="0"/>
        <v>1</v>
      </c>
    </row>
    <row r="50" spans="1:4">
      <c r="A50" s="43" t="s">
        <v>416</v>
      </c>
      <c r="B50">
        <f>COUNTIFS(Sales!$L$2:$L$51,A50,Sales!$F$2:$F$51,"Won")</f>
        <v>1</v>
      </c>
      <c r="C50">
        <f>COUNTIFS(Sales!$L$2:$L$51,A50,Sales!$F$2:$F$51,"Lost")</f>
        <v>0</v>
      </c>
      <c r="D50">
        <f>IFERROR(B50/(B50+C50),0)</f>
        <v>1</v>
      </c>
    </row>
    <row r="51" spans="1:4">
      <c r="A51" s="44" t="s">
        <v>418</v>
      </c>
      <c r="B51">
        <f>COUNTIFS(Sales!$L$2:$L$51,A51,Sales!$F$2:$F$51,"Won")</f>
        <v>0</v>
      </c>
      <c r="C51">
        <f>COUNTIFS(Sales!$L$2:$L$51,A51,Sales!$F$2:$F$51,"Lost")</f>
        <v>1</v>
      </c>
      <c r="D51">
        <v>0</v>
      </c>
    </row>
    <row r="52" spans="1:4">
      <c r="B52">
        <f>SUM(B2:B51)</f>
        <v>29</v>
      </c>
      <c r="C52">
        <v>14</v>
      </c>
      <c r="D52" s="48">
        <f>IFERROR(B50/(B52+C52),0)</f>
        <v>2.3255813953488372E-2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pane ySplit="1" topLeftCell="A2" activePane="bottomLeft" state="frozen"/>
      <selection pane="bottomLeft" activeCell="O21" sqref="O21"/>
    </sheetView>
  </sheetViews>
  <sheetFormatPr defaultRowHeight="14.5"/>
  <cols>
    <col min="1" max="1" width="13.81640625" style="1" customWidth="1"/>
    <col min="2" max="2" width="16.90625" style="1" customWidth="1"/>
    <col min="3" max="3" width="15" style="1" customWidth="1"/>
    <col min="4" max="4" width="19.26953125" style="1" customWidth="1"/>
    <col min="5" max="5" width="11" style="1" customWidth="1"/>
    <col min="6" max="6" width="16" style="1" customWidth="1"/>
  </cols>
  <sheetData>
    <row r="1" spans="1:6">
      <c r="A1" s="9" t="s">
        <v>2</v>
      </c>
      <c r="B1" s="10" t="s">
        <v>158</v>
      </c>
      <c r="C1" s="10" t="s">
        <v>159</v>
      </c>
      <c r="D1" s="10" t="s">
        <v>160</v>
      </c>
      <c r="E1" s="10" t="s">
        <v>161</v>
      </c>
      <c r="F1" s="11" t="s">
        <v>162</v>
      </c>
    </row>
    <row r="2" spans="1:6">
      <c r="A2" s="7" t="s">
        <v>11</v>
      </c>
      <c r="B2" s="4" t="s">
        <v>163</v>
      </c>
      <c r="C2" s="4" t="s">
        <v>164</v>
      </c>
      <c r="D2" s="4" t="s">
        <v>165</v>
      </c>
      <c r="E2" s="4" t="s">
        <v>166</v>
      </c>
      <c r="F2" s="8" t="s">
        <v>167</v>
      </c>
    </row>
    <row r="3" spans="1:6">
      <c r="A3" s="7" t="s">
        <v>155</v>
      </c>
      <c r="B3" s="4" t="s">
        <v>168</v>
      </c>
      <c r="C3" s="4" t="s">
        <v>169</v>
      </c>
      <c r="D3" s="4" t="s">
        <v>165</v>
      </c>
      <c r="E3" s="4" t="s">
        <v>170</v>
      </c>
      <c r="F3" s="8" t="s">
        <v>171</v>
      </c>
    </row>
    <row r="4" spans="1:6">
      <c r="A4" s="7" t="s">
        <v>38</v>
      </c>
      <c r="B4" s="4" t="s">
        <v>172</v>
      </c>
      <c r="C4" s="4" t="s">
        <v>173</v>
      </c>
      <c r="D4" s="4" t="s">
        <v>165</v>
      </c>
      <c r="E4" s="4" t="s">
        <v>166</v>
      </c>
      <c r="F4" s="8" t="s">
        <v>174</v>
      </c>
    </row>
    <row r="5" spans="1:6">
      <c r="A5" s="7" t="s">
        <v>144</v>
      </c>
      <c r="B5" s="4" t="s">
        <v>175</v>
      </c>
      <c r="C5" s="4" t="s">
        <v>169</v>
      </c>
      <c r="D5" s="4" t="s">
        <v>176</v>
      </c>
      <c r="E5" s="4" t="s">
        <v>177</v>
      </c>
      <c r="F5" s="8" t="s">
        <v>178</v>
      </c>
    </row>
    <row r="6" spans="1:6">
      <c r="A6" s="7" t="s">
        <v>26</v>
      </c>
      <c r="B6" s="4" t="s">
        <v>179</v>
      </c>
      <c r="C6" s="4" t="s">
        <v>169</v>
      </c>
      <c r="D6" s="4" t="s">
        <v>575</v>
      </c>
      <c r="E6" s="4" t="s">
        <v>180</v>
      </c>
      <c r="F6" s="8" t="s">
        <v>167</v>
      </c>
    </row>
    <row r="7" spans="1:6">
      <c r="A7" s="7" t="s">
        <v>181</v>
      </c>
      <c r="B7" s="4" t="s">
        <v>182</v>
      </c>
      <c r="C7" s="4" t="s">
        <v>183</v>
      </c>
      <c r="D7" s="4" t="s">
        <v>176</v>
      </c>
      <c r="E7" s="4" t="s">
        <v>166</v>
      </c>
      <c r="F7" s="8" t="s">
        <v>174</v>
      </c>
    </row>
    <row r="8" spans="1:6">
      <c r="A8" s="7" t="s">
        <v>184</v>
      </c>
      <c r="B8" s="4" t="s">
        <v>185</v>
      </c>
      <c r="C8" s="4" t="s">
        <v>173</v>
      </c>
      <c r="D8" s="4" t="s">
        <v>165</v>
      </c>
      <c r="E8" s="4" t="s">
        <v>170</v>
      </c>
      <c r="F8" s="8" t="s">
        <v>174</v>
      </c>
    </row>
    <row r="9" spans="1:6">
      <c r="A9" s="7" t="s">
        <v>186</v>
      </c>
      <c r="B9" s="4" t="s">
        <v>187</v>
      </c>
      <c r="C9" s="4" t="s">
        <v>173</v>
      </c>
      <c r="D9" s="4" t="s">
        <v>188</v>
      </c>
      <c r="E9" s="4" t="s">
        <v>177</v>
      </c>
      <c r="F9" s="8" t="s">
        <v>189</v>
      </c>
    </row>
    <row r="10" spans="1:6">
      <c r="A10" s="7" t="s">
        <v>190</v>
      </c>
      <c r="B10" s="4" t="s">
        <v>191</v>
      </c>
      <c r="C10" s="4" t="s">
        <v>173</v>
      </c>
      <c r="D10" s="4" t="s">
        <v>188</v>
      </c>
      <c r="E10" s="4" t="s">
        <v>192</v>
      </c>
      <c r="F10" s="8" t="s">
        <v>174</v>
      </c>
    </row>
    <row r="11" spans="1:6">
      <c r="A11" s="7" t="s">
        <v>116</v>
      </c>
      <c r="B11" s="4" t="s">
        <v>193</v>
      </c>
      <c r="C11" s="4" t="s">
        <v>169</v>
      </c>
      <c r="D11" s="4" t="s">
        <v>194</v>
      </c>
      <c r="E11" s="4" t="s">
        <v>195</v>
      </c>
      <c r="F11" s="8" t="s">
        <v>171</v>
      </c>
    </row>
    <row r="12" spans="1:6">
      <c r="A12" s="7" t="s">
        <v>196</v>
      </c>
      <c r="B12" s="4" t="s">
        <v>197</v>
      </c>
      <c r="C12" s="4" t="s">
        <v>164</v>
      </c>
      <c r="D12" s="4" t="s">
        <v>188</v>
      </c>
      <c r="E12" s="4" t="s">
        <v>195</v>
      </c>
      <c r="F12" s="8" t="s">
        <v>198</v>
      </c>
    </row>
    <row r="13" spans="1:6">
      <c r="A13" s="7" t="s">
        <v>42</v>
      </c>
      <c r="B13" s="4" t="s">
        <v>199</v>
      </c>
      <c r="C13" s="4" t="s">
        <v>173</v>
      </c>
      <c r="D13" s="4" t="s">
        <v>194</v>
      </c>
      <c r="E13" s="4" t="s">
        <v>195</v>
      </c>
      <c r="F13" s="8" t="s">
        <v>167</v>
      </c>
    </row>
    <row r="14" spans="1:6">
      <c r="A14" s="7" t="s">
        <v>200</v>
      </c>
      <c r="B14" s="4" t="s">
        <v>201</v>
      </c>
      <c r="C14" s="4" t="s">
        <v>202</v>
      </c>
      <c r="D14" s="4" t="s">
        <v>188</v>
      </c>
      <c r="E14" s="4" t="s">
        <v>166</v>
      </c>
      <c r="F14" s="8" t="s">
        <v>174</v>
      </c>
    </row>
    <row r="15" spans="1:6">
      <c r="A15" s="7" t="s">
        <v>60</v>
      </c>
      <c r="B15" s="4" t="s">
        <v>203</v>
      </c>
      <c r="C15" s="4" t="s">
        <v>169</v>
      </c>
      <c r="D15" s="4" t="s">
        <v>176</v>
      </c>
      <c r="E15" s="4" t="s">
        <v>192</v>
      </c>
      <c r="F15" s="8" t="s">
        <v>189</v>
      </c>
    </row>
    <row r="16" spans="1:6">
      <c r="A16" s="7" t="s">
        <v>204</v>
      </c>
      <c r="B16" s="4" t="s">
        <v>205</v>
      </c>
      <c r="C16" s="4" t="s">
        <v>183</v>
      </c>
      <c r="D16" s="4" t="s">
        <v>188</v>
      </c>
      <c r="E16" s="4" t="s">
        <v>166</v>
      </c>
      <c r="F16" s="8" t="s">
        <v>171</v>
      </c>
    </row>
    <row r="17" spans="1:6">
      <c r="A17" s="7" t="s">
        <v>17</v>
      </c>
      <c r="B17" s="4" t="s">
        <v>206</v>
      </c>
      <c r="C17" s="4" t="s">
        <v>164</v>
      </c>
      <c r="D17" s="4" t="s">
        <v>194</v>
      </c>
      <c r="E17" s="4" t="s">
        <v>180</v>
      </c>
      <c r="F17" s="8" t="s">
        <v>207</v>
      </c>
    </row>
    <row r="18" spans="1:6">
      <c r="A18" s="7" t="s">
        <v>208</v>
      </c>
      <c r="B18" s="4" t="s">
        <v>209</v>
      </c>
      <c r="C18" s="4" t="s">
        <v>202</v>
      </c>
      <c r="D18" s="4" t="s">
        <v>194</v>
      </c>
      <c r="E18" s="4" t="s">
        <v>166</v>
      </c>
      <c r="F18" s="8" t="s">
        <v>198</v>
      </c>
    </row>
    <row r="19" spans="1:6">
      <c r="A19" s="7" t="s">
        <v>210</v>
      </c>
      <c r="B19" s="4" t="s">
        <v>211</v>
      </c>
      <c r="C19" s="4" t="s">
        <v>202</v>
      </c>
      <c r="D19" s="4" t="s">
        <v>165</v>
      </c>
      <c r="E19" s="4" t="s">
        <v>192</v>
      </c>
      <c r="F19" s="8" t="s">
        <v>198</v>
      </c>
    </row>
    <row r="20" spans="1:6">
      <c r="A20" s="7" t="s">
        <v>129</v>
      </c>
      <c r="B20" s="4" t="s">
        <v>212</v>
      </c>
      <c r="C20" s="4" t="s">
        <v>183</v>
      </c>
      <c r="D20" s="4" t="s">
        <v>176</v>
      </c>
      <c r="E20" s="4" t="s">
        <v>192</v>
      </c>
      <c r="F20" s="8" t="s">
        <v>167</v>
      </c>
    </row>
    <row r="21" spans="1:6">
      <c r="A21" s="7" t="s">
        <v>213</v>
      </c>
      <c r="B21" s="4" t="s">
        <v>214</v>
      </c>
      <c r="C21" s="4" t="s">
        <v>164</v>
      </c>
      <c r="D21" s="4" t="s">
        <v>188</v>
      </c>
      <c r="E21" s="4" t="s">
        <v>180</v>
      </c>
      <c r="F21" s="8" t="s">
        <v>198</v>
      </c>
    </row>
    <row r="22" spans="1:6">
      <c r="A22" s="7" t="s">
        <v>99</v>
      </c>
      <c r="B22" s="4" t="s">
        <v>215</v>
      </c>
      <c r="C22" s="4" t="s">
        <v>169</v>
      </c>
      <c r="D22" s="4" t="s">
        <v>165</v>
      </c>
      <c r="E22" s="4" t="s">
        <v>192</v>
      </c>
      <c r="F22" s="8" t="s">
        <v>174</v>
      </c>
    </row>
    <row r="23" spans="1:6">
      <c r="A23" s="7" t="s">
        <v>31</v>
      </c>
      <c r="B23" s="4" t="s">
        <v>216</v>
      </c>
      <c r="C23" s="4" t="s">
        <v>217</v>
      </c>
      <c r="D23" s="4" t="s">
        <v>188</v>
      </c>
      <c r="E23" s="4" t="s">
        <v>170</v>
      </c>
      <c r="F23" s="8" t="s">
        <v>189</v>
      </c>
    </row>
    <row r="24" spans="1:6">
      <c r="A24" s="7" t="s">
        <v>114</v>
      </c>
      <c r="B24" s="4" t="s">
        <v>218</v>
      </c>
      <c r="C24" s="4" t="s">
        <v>164</v>
      </c>
      <c r="D24" s="4" t="s">
        <v>188</v>
      </c>
      <c r="E24" s="4" t="s">
        <v>192</v>
      </c>
      <c r="F24" s="8" t="s">
        <v>198</v>
      </c>
    </row>
    <row r="25" spans="1:6">
      <c r="A25" s="7" t="s">
        <v>151</v>
      </c>
      <c r="B25" s="4" t="s">
        <v>219</v>
      </c>
      <c r="C25" s="4" t="s">
        <v>183</v>
      </c>
      <c r="D25" s="4" t="s">
        <v>165</v>
      </c>
      <c r="E25" s="4" t="s">
        <v>195</v>
      </c>
      <c r="F25" s="8" t="s">
        <v>198</v>
      </c>
    </row>
    <row r="26" spans="1:6">
      <c r="A26" s="7" t="s">
        <v>220</v>
      </c>
      <c r="B26" s="4" t="s">
        <v>221</v>
      </c>
      <c r="C26" s="4" t="s">
        <v>202</v>
      </c>
      <c r="D26" s="4" t="s">
        <v>165</v>
      </c>
      <c r="E26" s="4" t="s">
        <v>170</v>
      </c>
      <c r="F26" s="8" t="s">
        <v>207</v>
      </c>
    </row>
    <row r="27" spans="1:6">
      <c r="A27" s="7" t="s">
        <v>46</v>
      </c>
      <c r="B27" s="4" t="s">
        <v>222</v>
      </c>
      <c r="C27" s="4" t="s">
        <v>169</v>
      </c>
      <c r="D27" s="4" t="s">
        <v>165</v>
      </c>
      <c r="E27" s="4" t="s">
        <v>170</v>
      </c>
      <c r="F27" s="8" t="s">
        <v>207</v>
      </c>
    </row>
    <row r="28" spans="1:6">
      <c r="A28" s="7" t="s">
        <v>223</v>
      </c>
      <c r="B28" s="4" t="s">
        <v>224</v>
      </c>
      <c r="C28" s="4" t="s">
        <v>164</v>
      </c>
      <c r="D28" s="4" t="s">
        <v>165</v>
      </c>
      <c r="E28" s="4" t="s">
        <v>180</v>
      </c>
      <c r="F28" s="8" t="s">
        <v>178</v>
      </c>
    </row>
    <row r="29" spans="1:6">
      <c r="A29" s="7" t="s">
        <v>63</v>
      </c>
      <c r="B29" s="4" t="s">
        <v>225</v>
      </c>
      <c r="C29" s="4" t="s">
        <v>217</v>
      </c>
      <c r="D29" s="4" t="s">
        <v>165</v>
      </c>
      <c r="E29" s="4" t="s">
        <v>174</v>
      </c>
      <c r="F29" s="8" t="s">
        <v>171</v>
      </c>
    </row>
    <row r="30" spans="1:6">
      <c r="A30" s="7" t="s">
        <v>34</v>
      </c>
      <c r="B30" s="4" t="s">
        <v>226</v>
      </c>
      <c r="C30" s="4" t="s">
        <v>217</v>
      </c>
      <c r="D30" s="4" t="s">
        <v>188</v>
      </c>
      <c r="E30" s="4" t="s">
        <v>174</v>
      </c>
      <c r="F30" s="8" t="s">
        <v>174</v>
      </c>
    </row>
    <row r="31" spans="1:6">
      <c r="A31" s="7" t="s">
        <v>76</v>
      </c>
      <c r="B31" s="4" t="s">
        <v>227</v>
      </c>
      <c r="C31" s="4" t="s">
        <v>173</v>
      </c>
      <c r="D31" s="4" t="s">
        <v>165</v>
      </c>
      <c r="E31" s="4" t="s">
        <v>192</v>
      </c>
      <c r="F31" s="8" t="s">
        <v>198</v>
      </c>
    </row>
    <row r="32" spans="1:6">
      <c r="A32" s="7" t="s">
        <v>123</v>
      </c>
      <c r="B32" s="4" t="s">
        <v>228</v>
      </c>
      <c r="C32" s="4" t="s">
        <v>173</v>
      </c>
      <c r="D32" s="4" t="s">
        <v>176</v>
      </c>
      <c r="E32" s="4" t="s">
        <v>170</v>
      </c>
      <c r="F32" s="8" t="s">
        <v>198</v>
      </c>
    </row>
    <row r="33" spans="1:6">
      <c r="A33" s="7" t="s">
        <v>133</v>
      </c>
      <c r="B33" s="4" t="s">
        <v>229</v>
      </c>
      <c r="C33" s="4" t="s">
        <v>183</v>
      </c>
      <c r="D33" s="4" t="s">
        <v>194</v>
      </c>
      <c r="E33" s="4" t="s">
        <v>174</v>
      </c>
      <c r="F33" s="8" t="s">
        <v>189</v>
      </c>
    </row>
    <row r="34" spans="1:6">
      <c r="A34" s="7" t="s">
        <v>106</v>
      </c>
      <c r="B34" s="4" t="s">
        <v>230</v>
      </c>
      <c r="C34" s="4" t="s">
        <v>164</v>
      </c>
      <c r="D34" s="4" t="s">
        <v>165</v>
      </c>
      <c r="E34" s="4" t="s">
        <v>174</v>
      </c>
      <c r="F34" s="8" t="s">
        <v>178</v>
      </c>
    </row>
    <row r="35" spans="1:6">
      <c r="A35" s="7" t="s">
        <v>120</v>
      </c>
      <c r="B35" s="4" t="s">
        <v>231</v>
      </c>
      <c r="C35" s="4" t="s">
        <v>164</v>
      </c>
      <c r="D35" s="4" t="s">
        <v>165</v>
      </c>
      <c r="E35" s="4" t="s">
        <v>192</v>
      </c>
      <c r="F35" s="8" t="s">
        <v>171</v>
      </c>
    </row>
    <row r="36" spans="1:6">
      <c r="A36" s="7" t="s">
        <v>232</v>
      </c>
      <c r="B36" s="4" t="s">
        <v>233</v>
      </c>
      <c r="C36" s="4" t="s">
        <v>202</v>
      </c>
      <c r="D36" s="4" t="s">
        <v>188</v>
      </c>
      <c r="E36" s="4" t="s">
        <v>174</v>
      </c>
      <c r="F36" s="8" t="s">
        <v>178</v>
      </c>
    </row>
    <row r="37" spans="1:6">
      <c r="A37" s="7" t="s">
        <v>102</v>
      </c>
      <c r="B37" s="4" t="s">
        <v>234</v>
      </c>
      <c r="C37" s="4" t="s">
        <v>202</v>
      </c>
      <c r="D37" s="4" t="s">
        <v>165</v>
      </c>
      <c r="E37" s="4" t="s">
        <v>166</v>
      </c>
      <c r="F37" s="8" t="s">
        <v>167</v>
      </c>
    </row>
    <row r="38" spans="1:6">
      <c r="A38" s="7" t="s">
        <v>52</v>
      </c>
      <c r="B38" s="4" t="s">
        <v>235</v>
      </c>
      <c r="C38" s="4" t="s">
        <v>202</v>
      </c>
      <c r="D38" s="4" t="s">
        <v>165</v>
      </c>
      <c r="E38" s="4" t="s">
        <v>177</v>
      </c>
      <c r="F38" s="8" t="s">
        <v>171</v>
      </c>
    </row>
    <row r="39" spans="1:6">
      <c r="A39" s="7" t="s">
        <v>236</v>
      </c>
      <c r="B39" s="4" t="s">
        <v>237</v>
      </c>
      <c r="C39" s="4" t="s">
        <v>173</v>
      </c>
      <c r="D39" s="4" t="s">
        <v>165</v>
      </c>
      <c r="E39" s="4" t="s">
        <v>180</v>
      </c>
      <c r="F39" s="8" t="s">
        <v>198</v>
      </c>
    </row>
    <row r="40" spans="1:6">
      <c r="A40" s="7" t="s">
        <v>21</v>
      </c>
      <c r="B40" s="4" t="s">
        <v>238</v>
      </c>
      <c r="C40" s="4" t="s">
        <v>164</v>
      </c>
      <c r="D40" s="4" t="s">
        <v>188</v>
      </c>
      <c r="E40" s="4" t="s">
        <v>177</v>
      </c>
      <c r="F40" s="8" t="s">
        <v>198</v>
      </c>
    </row>
    <row r="41" spans="1:6">
      <c r="A41" s="7" t="s">
        <v>239</v>
      </c>
      <c r="B41" s="4" t="s">
        <v>240</v>
      </c>
      <c r="C41" s="4" t="s">
        <v>164</v>
      </c>
      <c r="D41" s="4" t="s">
        <v>165</v>
      </c>
      <c r="E41" s="4" t="s">
        <v>192</v>
      </c>
      <c r="F41" s="8" t="s">
        <v>171</v>
      </c>
    </row>
    <row r="42" spans="1:6">
      <c r="A42" s="7" t="s">
        <v>241</v>
      </c>
      <c r="B42" s="4" t="s">
        <v>242</v>
      </c>
      <c r="C42" s="4" t="s">
        <v>217</v>
      </c>
      <c r="D42" s="4" t="s">
        <v>194</v>
      </c>
      <c r="E42" s="4" t="s">
        <v>195</v>
      </c>
      <c r="F42" s="8" t="s">
        <v>198</v>
      </c>
    </row>
    <row r="43" spans="1:6">
      <c r="A43" s="7" t="s">
        <v>243</v>
      </c>
      <c r="B43" s="4" t="s">
        <v>244</v>
      </c>
      <c r="C43" s="4" t="s">
        <v>173</v>
      </c>
      <c r="D43" s="4" t="s">
        <v>188</v>
      </c>
      <c r="E43" s="4" t="s">
        <v>180</v>
      </c>
      <c r="F43" s="8" t="s">
        <v>174</v>
      </c>
    </row>
    <row r="44" spans="1:6">
      <c r="A44" s="7" t="s">
        <v>245</v>
      </c>
      <c r="B44" s="4" t="s">
        <v>246</v>
      </c>
      <c r="C44" s="4" t="s">
        <v>169</v>
      </c>
      <c r="D44" s="4" t="s">
        <v>194</v>
      </c>
      <c r="E44" s="4" t="s">
        <v>192</v>
      </c>
      <c r="F44" s="8" t="s">
        <v>171</v>
      </c>
    </row>
    <row r="45" spans="1:6">
      <c r="A45" s="7" t="s">
        <v>247</v>
      </c>
      <c r="B45" s="4" t="s">
        <v>248</v>
      </c>
      <c r="C45" s="4" t="s">
        <v>173</v>
      </c>
      <c r="D45" s="4" t="s">
        <v>188</v>
      </c>
      <c r="E45" s="4" t="s">
        <v>170</v>
      </c>
      <c r="F45" s="8" t="s">
        <v>178</v>
      </c>
    </row>
    <row r="46" spans="1:6">
      <c r="A46" s="7" t="s">
        <v>141</v>
      </c>
      <c r="B46" s="4" t="s">
        <v>249</v>
      </c>
      <c r="C46" s="4" t="s">
        <v>169</v>
      </c>
      <c r="D46" s="4" t="s">
        <v>165</v>
      </c>
      <c r="E46" s="4" t="s">
        <v>195</v>
      </c>
      <c r="F46" s="8" t="s">
        <v>171</v>
      </c>
    </row>
    <row r="47" spans="1:6">
      <c r="A47" s="7" t="s">
        <v>78</v>
      </c>
      <c r="B47" s="4" t="s">
        <v>250</v>
      </c>
      <c r="C47" s="4" t="s">
        <v>217</v>
      </c>
      <c r="D47" s="4" t="s">
        <v>194</v>
      </c>
      <c r="E47" s="4" t="s">
        <v>177</v>
      </c>
      <c r="F47" s="8" t="s">
        <v>198</v>
      </c>
    </row>
    <row r="48" spans="1:6">
      <c r="A48" s="7" t="s">
        <v>69</v>
      </c>
      <c r="B48" s="4" t="s">
        <v>251</v>
      </c>
      <c r="C48" s="4" t="s">
        <v>183</v>
      </c>
      <c r="D48" s="4" t="s">
        <v>188</v>
      </c>
      <c r="E48" s="4" t="s">
        <v>192</v>
      </c>
      <c r="F48" s="8" t="s">
        <v>174</v>
      </c>
    </row>
    <row r="49" spans="1:6">
      <c r="A49" s="7" t="s">
        <v>94</v>
      </c>
      <c r="B49" s="4" t="s">
        <v>252</v>
      </c>
      <c r="C49" s="4" t="s">
        <v>164</v>
      </c>
      <c r="D49" s="4" t="s">
        <v>176</v>
      </c>
      <c r="E49" s="4" t="s">
        <v>170</v>
      </c>
      <c r="F49" s="8" t="s">
        <v>174</v>
      </c>
    </row>
    <row r="50" spans="1:6">
      <c r="A50" s="7" t="s">
        <v>72</v>
      </c>
      <c r="B50" s="4" t="s">
        <v>253</v>
      </c>
      <c r="C50" s="4" t="s">
        <v>217</v>
      </c>
      <c r="D50" s="4" t="s">
        <v>165</v>
      </c>
      <c r="E50" s="4" t="s">
        <v>180</v>
      </c>
      <c r="F50" s="8" t="s">
        <v>167</v>
      </c>
    </row>
    <row r="51" spans="1:6">
      <c r="A51" s="12" t="s">
        <v>254</v>
      </c>
      <c r="B51" s="6" t="s">
        <v>255</v>
      </c>
      <c r="C51" s="6" t="s">
        <v>164</v>
      </c>
      <c r="D51" s="6" t="s">
        <v>188</v>
      </c>
      <c r="E51" s="6" t="s">
        <v>180</v>
      </c>
      <c r="F51" s="13" t="s">
        <v>178</v>
      </c>
    </row>
  </sheetData>
  <conditionalFormatting sqref="A1:A1048576">
    <cfRule type="duplicateValues" dxfId="0" priority="1"/>
  </conditionalFormatting>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
  <sheetViews>
    <sheetView workbookViewId="0">
      <pane ySplit="1" topLeftCell="A9" activePane="bottomLeft" state="frozen"/>
      <selection pane="bottomLeft" activeCell="B27" sqref="B27"/>
    </sheetView>
  </sheetViews>
  <sheetFormatPr defaultRowHeight="14.5"/>
  <cols>
    <col min="1" max="1" width="12.26953125" style="1" customWidth="1"/>
    <col min="2" max="2" width="21" style="1" customWidth="1"/>
    <col min="3" max="3" width="11" style="1" customWidth="1"/>
    <col min="4" max="4" width="7" style="2" customWidth="1"/>
  </cols>
  <sheetData>
    <row r="1" spans="1:4">
      <c r="A1" s="9" t="s">
        <v>3</v>
      </c>
      <c r="B1" s="10" t="s">
        <v>256</v>
      </c>
      <c r="C1" s="10" t="s">
        <v>257</v>
      </c>
      <c r="D1" s="15" t="s">
        <v>258</v>
      </c>
    </row>
    <row r="2" spans="1:4">
      <c r="A2" s="7" t="s">
        <v>64</v>
      </c>
      <c r="B2" s="4" t="s">
        <v>259</v>
      </c>
      <c r="C2" s="4" t="s">
        <v>260</v>
      </c>
      <c r="D2" s="14">
        <v>6304</v>
      </c>
    </row>
    <row r="3" spans="1:4">
      <c r="A3" s="7" t="s">
        <v>95</v>
      </c>
      <c r="B3" s="4" t="s">
        <v>261</v>
      </c>
      <c r="C3" s="4" t="s">
        <v>260</v>
      </c>
      <c r="D3" s="14">
        <v>23147</v>
      </c>
    </row>
    <row r="4" spans="1:4">
      <c r="A4" s="7" t="s">
        <v>61</v>
      </c>
      <c r="B4" s="4" t="s">
        <v>262</v>
      </c>
      <c r="C4" s="4" t="s">
        <v>263</v>
      </c>
      <c r="D4" s="14">
        <v>24616</v>
      </c>
    </row>
    <row r="5" spans="1:4">
      <c r="A5" s="7" t="s">
        <v>130</v>
      </c>
      <c r="B5" s="4" t="s">
        <v>264</v>
      </c>
      <c r="C5" s="4" t="s">
        <v>265</v>
      </c>
      <c r="D5" s="14">
        <v>21237</v>
      </c>
    </row>
    <row r="6" spans="1:4">
      <c r="A6" s="7" t="s">
        <v>266</v>
      </c>
      <c r="B6" s="4" t="s">
        <v>267</v>
      </c>
      <c r="C6" s="4" t="s">
        <v>268</v>
      </c>
      <c r="D6" s="14">
        <v>16808</v>
      </c>
    </row>
    <row r="7" spans="1:4">
      <c r="A7" s="7" t="s">
        <v>269</v>
      </c>
      <c r="B7" s="4" t="s">
        <v>270</v>
      </c>
      <c r="C7" s="4" t="s">
        <v>263</v>
      </c>
      <c r="D7" s="14">
        <v>9585</v>
      </c>
    </row>
    <row r="8" spans="1:4">
      <c r="A8" s="7" t="s">
        <v>126</v>
      </c>
      <c r="B8" s="4" t="s">
        <v>271</v>
      </c>
      <c r="C8" s="4" t="s">
        <v>265</v>
      </c>
      <c r="D8" s="14">
        <v>20675</v>
      </c>
    </row>
    <row r="9" spans="1:4">
      <c r="A9" s="7" t="s">
        <v>112</v>
      </c>
      <c r="B9" s="4" t="s">
        <v>272</v>
      </c>
      <c r="C9" s="4" t="s">
        <v>273</v>
      </c>
      <c r="D9" s="14">
        <v>22965</v>
      </c>
    </row>
    <row r="10" spans="1:4">
      <c r="A10" s="7" t="s">
        <v>274</v>
      </c>
      <c r="B10" s="4" t="s">
        <v>275</v>
      </c>
      <c r="C10" s="4" t="s">
        <v>273</v>
      </c>
      <c r="D10" s="14">
        <v>14649</v>
      </c>
    </row>
    <row r="11" spans="1:4">
      <c r="A11" s="7" t="s">
        <v>73</v>
      </c>
      <c r="B11" s="4" t="s">
        <v>276</v>
      </c>
      <c r="C11" s="4" t="s">
        <v>273</v>
      </c>
      <c r="D11" s="14">
        <v>26938</v>
      </c>
    </row>
    <row r="12" spans="1:4">
      <c r="A12" s="7" t="s">
        <v>139</v>
      </c>
      <c r="B12" s="4" t="s">
        <v>277</v>
      </c>
      <c r="C12" s="4" t="s">
        <v>273</v>
      </c>
      <c r="D12" s="14">
        <v>26664</v>
      </c>
    </row>
    <row r="13" spans="1:4">
      <c r="A13" s="7" t="s">
        <v>35</v>
      </c>
      <c r="B13" s="4" t="s">
        <v>278</v>
      </c>
      <c r="C13" s="4" t="s">
        <v>273</v>
      </c>
      <c r="D13" s="14">
        <v>4636</v>
      </c>
    </row>
    <row r="14" spans="1:4">
      <c r="A14" s="7" t="s">
        <v>84</v>
      </c>
      <c r="B14" s="4" t="s">
        <v>279</v>
      </c>
      <c r="C14" s="4" t="s">
        <v>265</v>
      </c>
      <c r="D14" s="14">
        <v>23080</v>
      </c>
    </row>
    <row r="15" spans="1:4">
      <c r="A15" s="7" t="s">
        <v>280</v>
      </c>
      <c r="B15" s="4" t="s">
        <v>281</v>
      </c>
      <c r="C15" s="4" t="s">
        <v>265</v>
      </c>
      <c r="D15" s="14">
        <v>20082</v>
      </c>
    </row>
    <row r="16" spans="1:4">
      <c r="A16" s="7" t="s">
        <v>282</v>
      </c>
      <c r="B16" s="4" t="s">
        <v>283</v>
      </c>
      <c r="C16" s="4" t="s">
        <v>183</v>
      </c>
      <c r="D16" s="14">
        <v>29736</v>
      </c>
    </row>
    <row r="17" spans="1:4">
      <c r="A17" s="7" t="s">
        <v>284</v>
      </c>
      <c r="B17" s="4" t="s">
        <v>285</v>
      </c>
      <c r="C17" s="4" t="s">
        <v>286</v>
      </c>
      <c r="D17" s="14">
        <v>7737</v>
      </c>
    </row>
    <row r="18" spans="1:4">
      <c r="A18" s="7" t="s">
        <v>107</v>
      </c>
      <c r="B18" s="4" t="s">
        <v>287</v>
      </c>
      <c r="C18" s="4" t="s">
        <v>260</v>
      </c>
      <c r="D18" s="14">
        <v>17555</v>
      </c>
    </row>
    <row r="19" spans="1:4">
      <c r="A19" s="7" t="s">
        <v>288</v>
      </c>
      <c r="B19" s="4" t="s">
        <v>289</v>
      </c>
      <c r="C19" s="4" t="s">
        <v>290</v>
      </c>
      <c r="D19" s="14">
        <v>16877</v>
      </c>
    </row>
    <row r="20" spans="1:4">
      <c r="A20" s="7" t="s">
        <v>291</v>
      </c>
      <c r="B20" s="4" t="s">
        <v>292</v>
      </c>
      <c r="C20" s="4" t="s">
        <v>273</v>
      </c>
      <c r="D20" s="14">
        <v>3854</v>
      </c>
    </row>
    <row r="21" spans="1:4">
      <c r="A21" s="7" t="s">
        <v>27</v>
      </c>
      <c r="B21" s="4" t="s">
        <v>293</v>
      </c>
      <c r="C21" s="4" t="s">
        <v>268</v>
      </c>
      <c r="D21" s="14">
        <v>27548</v>
      </c>
    </row>
    <row r="22" spans="1:4">
      <c r="A22" s="7" t="s">
        <v>152</v>
      </c>
      <c r="B22" s="4" t="s">
        <v>294</v>
      </c>
      <c r="C22" s="4" t="s">
        <v>290</v>
      </c>
      <c r="D22" s="14">
        <v>8855</v>
      </c>
    </row>
    <row r="23" spans="1:4">
      <c r="A23" s="7" t="s">
        <v>295</v>
      </c>
      <c r="B23" s="4" t="s">
        <v>296</v>
      </c>
      <c r="C23" s="4" t="s">
        <v>265</v>
      </c>
      <c r="D23" s="14">
        <v>10392</v>
      </c>
    </row>
    <row r="24" spans="1:4">
      <c r="A24" s="7" t="s">
        <v>103</v>
      </c>
      <c r="B24" s="4" t="s">
        <v>297</v>
      </c>
      <c r="C24" s="4" t="s">
        <v>268</v>
      </c>
      <c r="D24" s="14">
        <v>25912</v>
      </c>
    </row>
    <row r="25" spans="1:4">
      <c r="A25" s="7" t="s">
        <v>32</v>
      </c>
      <c r="B25" s="4" t="s">
        <v>298</v>
      </c>
      <c r="C25" s="4" t="s">
        <v>268</v>
      </c>
      <c r="D25" s="14">
        <v>16949</v>
      </c>
    </row>
    <row r="26" spans="1:4">
      <c r="A26" s="7" t="s">
        <v>148</v>
      </c>
      <c r="B26" s="4" t="s">
        <v>299</v>
      </c>
      <c r="C26" s="4" t="s">
        <v>268</v>
      </c>
      <c r="D26" s="14">
        <v>24633</v>
      </c>
    </row>
    <row r="27" spans="1:4">
      <c r="A27" s="7" t="s">
        <v>109</v>
      </c>
      <c r="B27" s="4" t="s">
        <v>300</v>
      </c>
      <c r="C27" s="4" t="s">
        <v>183</v>
      </c>
      <c r="D27" s="14">
        <v>24556</v>
      </c>
    </row>
    <row r="28" spans="1:4">
      <c r="A28" s="7" t="s">
        <v>22</v>
      </c>
      <c r="B28" s="4" t="s">
        <v>301</v>
      </c>
      <c r="C28" s="4" t="s">
        <v>265</v>
      </c>
      <c r="D28" s="14">
        <v>21091</v>
      </c>
    </row>
    <row r="29" spans="1:4">
      <c r="A29" s="7" t="s">
        <v>12</v>
      </c>
      <c r="B29" s="4" t="s">
        <v>302</v>
      </c>
      <c r="C29" s="4" t="s">
        <v>268</v>
      </c>
      <c r="D29" s="14">
        <v>8791</v>
      </c>
    </row>
    <row r="30" spans="1:4">
      <c r="A30" s="7" t="s">
        <v>82</v>
      </c>
      <c r="B30" s="4" t="s">
        <v>303</v>
      </c>
      <c r="C30" s="4" t="s">
        <v>273</v>
      </c>
      <c r="D30" s="14">
        <v>29309</v>
      </c>
    </row>
    <row r="31" spans="1:4">
      <c r="A31" s="7" t="s">
        <v>304</v>
      </c>
      <c r="B31" s="4" t="s">
        <v>305</v>
      </c>
      <c r="C31" s="4" t="s">
        <v>263</v>
      </c>
      <c r="D31" s="14">
        <v>24919</v>
      </c>
    </row>
    <row r="32" spans="1:4">
      <c r="A32" s="7" t="s">
        <v>89</v>
      </c>
      <c r="B32" s="4" t="s">
        <v>306</v>
      </c>
      <c r="C32" s="4" t="s">
        <v>268</v>
      </c>
      <c r="D32" s="14">
        <v>7931</v>
      </c>
    </row>
    <row r="33" spans="1:4">
      <c r="A33" s="7" t="s">
        <v>18</v>
      </c>
      <c r="B33" s="4" t="s">
        <v>307</v>
      </c>
      <c r="C33" s="4" t="s">
        <v>183</v>
      </c>
      <c r="D33" s="14">
        <v>22894</v>
      </c>
    </row>
    <row r="34" spans="1:4">
      <c r="A34" s="7" t="s">
        <v>47</v>
      </c>
      <c r="B34" s="4" t="s">
        <v>308</v>
      </c>
      <c r="C34" s="4" t="s">
        <v>290</v>
      </c>
      <c r="D34" s="14">
        <v>3202</v>
      </c>
    </row>
    <row r="35" spans="1:4">
      <c r="A35" s="7" t="s">
        <v>121</v>
      </c>
      <c r="B35" s="4" t="s">
        <v>309</v>
      </c>
      <c r="C35" s="4" t="s">
        <v>265</v>
      </c>
      <c r="D35" s="14">
        <v>14447</v>
      </c>
    </row>
    <row r="36" spans="1:4">
      <c r="A36" s="7" t="s">
        <v>43</v>
      </c>
      <c r="B36" s="4" t="s">
        <v>310</v>
      </c>
      <c r="C36" s="4" t="s">
        <v>286</v>
      </c>
      <c r="D36" s="14">
        <v>23602</v>
      </c>
    </row>
    <row r="37" spans="1:4">
      <c r="A37" s="7" t="s">
        <v>145</v>
      </c>
      <c r="B37" s="4" t="s">
        <v>311</v>
      </c>
      <c r="C37" s="4" t="s">
        <v>183</v>
      </c>
      <c r="D37" s="14">
        <v>15688</v>
      </c>
    </row>
    <row r="38" spans="1:4">
      <c r="A38" s="7" t="s">
        <v>56</v>
      </c>
      <c r="B38" s="4" t="s">
        <v>312</v>
      </c>
      <c r="C38" s="4" t="s">
        <v>268</v>
      </c>
      <c r="D38" s="14">
        <v>28342</v>
      </c>
    </row>
    <row r="39" spans="1:4">
      <c r="A39" s="7" t="s">
        <v>313</v>
      </c>
      <c r="B39" s="4" t="s">
        <v>314</v>
      </c>
      <c r="C39" s="4" t="s">
        <v>265</v>
      </c>
      <c r="D39" s="14">
        <v>7389</v>
      </c>
    </row>
    <row r="40" spans="1:4">
      <c r="A40" s="7" t="s">
        <v>315</v>
      </c>
      <c r="B40" s="4" t="s">
        <v>316</v>
      </c>
      <c r="C40" s="4" t="s">
        <v>263</v>
      </c>
      <c r="D40" s="14">
        <v>5327</v>
      </c>
    </row>
    <row r="41" spans="1:4">
      <c r="A41" s="7" t="s">
        <v>70</v>
      </c>
      <c r="B41" s="4" t="s">
        <v>317</v>
      </c>
      <c r="C41" s="4" t="s">
        <v>268</v>
      </c>
      <c r="D41" s="14">
        <v>11004</v>
      </c>
    </row>
    <row r="42" spans="1:4">
      <c r="A42" s="7" t="s">
        <v>124</v>
      </c>
      <c r="B42" s="4" t="s">
        <v>318</v>
      </c>
      <c r="C42" s="4" t="s">
        <v>183</v>
      </c>
      <c r="D42" s="14">
        <v>22315</v>
      </c>
    </row>
    <row r="43" spans="1:4">
      <c r="A43" s="7" t="s">
        <v>319</v>
      </c>
      <c r="B43" s="4" t="s">
        <v>320</v>
      </c>
      <c r="C43" s="4" t="s">
        <v>260</v>
      </c>
      <c r="D43" s="14">
        <v>10777</v>
      </c>
    </row>
    <row r="44" spans="1:4">
      <c r="A44" s="7" t="s">
        <v>53</v>
      </c>
      <c r="B44" s="4" t="s">
        <v>321</v>
      </c>
      <c r="C44" s="4" t="s">
        <v>273</v>
      </c>
      <c r="D44" s="14">
        <v>3197</v>
      </c>
    </row>
    <row r="45" spans="1:4">
      <c r="A45" s="7" t="s">
        <v>79</v>
      </c>
      <c r="B45" s="4" t="s">
        <v>322</v>
      </c>
      <c r="C45" s="4" t="s">
        <v>286</v>
      </c>
      <c r="D45" s="14">
        <v>26509</v>
      </c>
    </row>
    <row r="46" spans="1:4">
      <c r="A46" s="7" t="s">
        <v>136</v>
      </c>
      <c r="B46" s="4" t="s">
        <v>323</v>
      </c>
      <c r="C46" s="4" t="s">
        <v>290</v>
      </c>
      <c r="D46" s="14">
        <v>4930</v>
      </c>
    </row>
    <row r="47" spans="1:4">
      <c r="A47" s="7" t="s">
        <v>92</v>
      </c>
      <c r="B47" s="4" t="s">
        <v>324</v>
      </c>
      <c r="C47" s="4" t="s">
        <v>183</v>
      </c>
      <c r="D47" s="14">
        <v>14774</v>
      </c>
    </row>
    <row r="48" spans="1:4">
      <c r="A48" s="7" t="s">
        <v>325</v>
      </c>
      <c r="B48" s="4" t="s">
        <v>326</v>
      </c>
      <c r="C48" s="4" t="s">
        <v>265</v>
      </c>
      <c r="D48" s="14">
        <v>18087</v>
      </c>
    </row>
    <row r="49" spans="1:4">
      <c r="A49" s="7" t="s">
        <v>327</v>
      </c>
      <c r="B49" s="4" t="s">
        <v>328</v>
      </c>
      <c r="C49" s="4" t="s">
        <v>286</v>
      </c>
      <c r="D49" s="14">
        <v>25671</v>
      </c>
    </row>
    <row r="50" spans="1:4">
      <c r="A50" s="7" t="s">
        <v>329</v>
      </c>
      <c r="B50" s="4" t="s">
        <v>330</v>
      </c>
      <c r="C50" s="4" t="s">
        <v>286</v>
      </c>
      <c r="D50" s="14">
        <v>28184</v>
      </c>
    </row>
    <row r="51" spans="1:4">
      <c r="A51" s="12" t="s">
        <v>39</v>
      </c>
      <c r="B51" s="6" t="s">
        <v>331</v>
      </c>
      <c r="C51" s="6" t="s">
        <v>286</v>
      </c>
      <c r="D51" s="16">
        <v>12339</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1"/>
  <sheetViews>
    <sheetView workbookViewId="0">
      <pane ySplit="1" topLeftCell="A5" activePane="bottomLeft" state="frozen"/>
      <selection pane="bottomLeft" activeCell="B2" sqref="B2:B51"/>
    </sheetView>
  </sheetViews>
  <sheetFormatPr defaultRowHeight="14.5"/>
  <cols>
    <col min="1" max="1" width="16" style="1" customWidth="1"/>
    <col min="2" max="2" width="18.7265625" style="1" customWidth="1"/>
    <col min="3" max="3" width="12" style="1" customWidth="1"/>
    <col min="4" max="4" width="9" style="1" customWidth="1"/>
    <col min="5" max="5" width="10.26953125" style="1" customWidth="1"/>
  </cols>
  <sheetData>
    <row r="1" spans="1:5">
      <c r="A1" s="9" t="s">
        <v>4</v>
      </c>
      <c r="B1" s="10" t="s">
        <v>332</v>
      </c>
      <c r="C1" s="10" t="s">
        <v>333</v>
      </c>
      <c r="D1" s="10" t="s">
        <v>334</v>
      </c>
      <c r="E1" s="11" t="s">
        <v>335</v>
      </c>
    </row>
    <row r="2" spans="1:5">
      <c r="A2" s="7" t="s">
        <v>336</v>
      </c>
      <c r="B2" s="4" t="s">
        <v>337</v>
      </c>
      <c r="C2" s="4" t="s">
        <v>165</v>
      </c>
      <c r="D2" s="4" t="s">
        <v>338</v>
      </c>
      <c r="E2" s="8" t="s">
        <v>339</v>
      </c>
    </row>
    <row r="3" spans="1:5">
      <c r="A3" s="7" t="s">
        <v>340</v>
      </c>
      <c r="B3" s="4" t="s">
        <v>341</v>
      </c>
      <c r="C3" s="4" t="s">
        <v>342</v>
      </c>
      <c r="D3" s="4" t="s">
        <v>343</v>
      </c>
      <c r="E3" s="8" t="s">
        <v>344</v>
      </c>
    </row>
    <row r="4" spans="1:5">
      <c r="A4" s="7" t="s">
        <v>345</v>
      </c>
      <c r="B4" s="4" t="s">
        <v>346</v>
      </c>
      <c r="C4" s="4" t="s">
        <v>176</v>
      </c>
      <c r="D4" s="4" t="s">
        <v>347</v>
      </c>
      <c r="E4" s="8" t="s">
        <v>339</v>
      </c>
    </row>
    <row r="5" spans="1:5">
      <c r="A5" s="7" t="s">
        <v>348</v>
      </c>
      <c r="B5" s="4" t="s">
        <v>349</v>
      </c>
      <c r="C5" s="4" t="s">
        <v>165</v>
      </c>
      <c r="D5" s="4" t="s">
        <v>350</v>
      </c>
      <c r="E5" s="8" t="s">
        <v>351</v>
      </c>
    </row>
    <row r="6" spans="1:5">
      <c r="A6" s="7" t="s">
        <v>149</v>
      </c>
      <c r="B6" s="4" t="s">
        <v>352</v>
      </c>
      <c r="C6" s="4" t="s">
        <v>165</v>
      </c>
      <c r="D6" s="4" t="s">
        <v>350</v>
      </c>
      <c r="E6" s="8" t="s">
        <v>351</v>
      </c>
    </row>
    <row r="7" spans="1:5">
      <c r="A7" s="7" t="s">
        <v>353</v>
      </c>
      <c r="B7" s="4" t="s">
        <v>354</v>
      </c>
      <c r="C7" s="4" t="s">
        <v>165</v>
      </c>
      <c r="D7" s="4" t="s">
        <v>350</v>
      </c>
      <c r="E7" s="8" t="s">
        <v>344</v>
      </c>
    </row>
    <row r="8" spans="1:5">
      <c r="A8" s="7" t="s">
        <v>127</v>
      </c>
      <c r="B8" s="4" t="s">
        <v>355</v>
      </c>
      <c r="C8" s="4" t="s">
        <v>342</v>
      </c>
      <c r="D8" s="4" t="s">
        <v>338</v>
      </c>
      <c r="E8" s="8" t="s">
        <v>356</v>
      </c>
    </row>
    <row r="9" spans="1:5">
      <c r="A9" s="7" t="s">
        <v>357</v>
      </c>
      <c r="B9" s="4" t="s">
        <v>358</v>
      </c>
      <c r="C9" s="4" t="s">
        <v>165</v>
      </c>
      <c r="D9" s="4" t="s">
        <v>347</v>
      </c>
      <c r="E9" s="8" t="s">
        <v>359</v>
      </c>
    </row>
    <row r="10" spans="1:5">
      <c r="A10" s="7" t="s">
        <v>13</v>
      </c>
      <c r="B10" s="4" t="s">
        <v>360</v>
      </c>
      <c r="C10" s="4" t="s">
        <v>165</v>
      </c>
      <c r="D10" s="4" t="s">
        <v>343</v>
      </c>
      <c r="E10" s="8" t="s">
        <v>344</v>
      </c>
    </row>
    <row r="11" spans="1:5">
      <c r="A11" s="7" t="s">
        <v>361</v>
      </c>
      <c r="B11" s="4" t="s">
        <v>362</v>
      </c>
      <c r="C11" s="4" t="s">
        <v>165</v>
      </c>
      <c r="D11" s="4" t="s">
        <v>363</v>
      </c>
      <c r="E11" s="8" t="s">
        <v>359</v>
      </c>
    </row>
    <row r="12" spans="1:5">
      <c r="A12" s="7" t="s">
        <v>364</v>
      </c>
      <c r="B12" s="4" t="s">
        <v>365</v>
      </c>
      <c r="C12" s="4" t="s">
        <v>165</v>
      </c>
      <c r="D12" s="4" t="s">
        <v>343</v>
      </c>
      <c r="E12" s="8" t="s">
        <v>359</v>
      </c>
    </row>
    <row r="13" spans="1:5">
      <c r="A13" s="7" t="s">
        <v>67</v>
      </c>
      <c r="B13" s="4" t="s">
        <v>366</v>
      </c>
      <c r="C13" s="4" t="s">
        <v>176</v>
      </c>
      <c r="D13" s="4" t="s">
        <v>363</v>
      </c>
      <c r="E13" s="8" t="s">
        <v>356</v>
      </c>
    </row>
    <row r="14" spans="1:5">
      <c r="A14" s="7" t="s">
        <v>74</v>
      </c>
      <c r="B14" s="4" t="s">
        <v>367</v>
      </c>
      <c r="C14" s="4" t="s">
        <v>176</v>
      </c>
      <c r="D14" s="4" t="s">
        <v>343</v>
      </c>
      <c r="E14" s="8" t="s">
        <v>359</v>
      </c>
    </row>
    <row r="15" spans="1:5">
      <c r="A15" s="7" t="s">
        <v>134</v>
      </c>
      <c r="B15" s="4" t="s">
        <v>368</v>
      </c>
      <c r="C15" s="4" t="s">
        <v>165</v>
      </c>
      <c r="D15" s="4" t="s">
        <v>347</v>
      </c>
      <c r="E15" s="8" t="s">
        <v>359</v>
      </c>
    </row>
    <row r="16" spans="1:5">
      <c r="A16" s="7" t="s">
        <v>369</v>
      </c>
      <c r="B16" s="4" t="s">
        <v>370</v>
      </c>
      <c r="C16" s="4" t="s">
        <v>342</v>
      </c>
      <c r="D16" s="4" t="s">
        <v>363</v>
      </c>
      <c r="E16" s="8" t="s">
        <v>356</v>
      </c>
    </row>
    <row r="17" spans="1:5">
      <c r="A17" s="7" t="s">
        <v>146</v>
      </c>
      <c r="B17" s="4" t="s">
        <v>371</v>
      </c>
      <c r="C17" s="4" t="s">
        <v>176</v>
      </c>
      <c r="D17" s="4" t="s">
        <v>338</v>
      </c>
      <c r="E17" s="8" t="s">
        <v>359</v>
      </c>
    </row>
    <row r="18" spans="1:5">
      <c r="A18" s="7" t="s">
        <v>90</v>
      </c>
      <c r="B18" s="4" t="s">
        <v>372</v>
      </c>
      <c r="C18" s="4" t="s">
        <v>165</v>
      </c>
      <c r="D18" s="4" t="s">
        <v>343</v>
      </c>
      <c r="E18" s="8" t="s">
        <v>359</v>
      </c>
    </row>
    <row r="19" spans="1:5">
      <c r="A19" s="7" t="s">
        <v>44</v>
      </c>
      <c r="B19" s="4" t="s">
        <v>373</v>
      </c>
      <c r="C19" s="4" t="s">
        <v>176</v>
      </c>
      <c r="D19" s="4" t="s">
        <v>343</v>
      </c>
      <c r="E19" s="8" t="s">
        <v>359</v>
      </c>
    </row>
    <row r="20" spans="1:5">
      <c r="A20" s="7" t="s">
        <v>110</v>
      </c>
      <c r="B20" s="4" t="s">
        <v>374</v>
      </c>
      <c r="C20" s="4" t="s">
        <v>176</v>
      </c>
      <c r="D20" s="4" t="s">
        <v>363</v>
      </c>
      <c r="E20" s="8" t="s">
        <v>344</v>
      </c>
    </row>
    <row r="21" spans="1:5">
      <c r="A21" s="7" t="s">
        <v>96</v>
      </c>
      <c r="B21" s="4" t="s">
        <v>375</v>
      </c>
      <c r="C21" s="4" t="s">
        <v>342</v>
      </c>
      <c r="D21" s="4" t="s">
        <v>338</v>
      </c>
      <c r="E21" s="8" t="s">
        <v>344</v>
      </c>
    </row>
    <row r="22" spans="1:5">
      <c r="A22" s="7" t="s">
        <v>157</v>
      </c>
      <c r="B22" s="4" t="s">
        <v>376</v>
      </c>
      <c r="C22" s="4" t="s">
        <v>165</v>
      </c>
      <c r="D22" s="4" t="s">
        <v>338</v>
      </c>
      <c r="E22" s="8" t="s">
        <v>344</v>
      </c>
    </row>
    <row r="23" spans="1:5">
      <c r="A23" s="7" t="s">
        <v>104</v>
      </c>
      <c r="B23" s="4" t="s">
        <v>377</v>
      </c>
      <c r="C23" s="4" t="s">
        <v>165</v>
      </c>
      <c r="D23" s="4" t="s">
        <v>347</v>
      </c>
      <c r="E23" s="8" t="s">
        <v>356</v>
      </c>
    </row>
    <row r="24" spans="1:5">
      <c r="A24" s="7" t="s">
        <v>58</v>
      </c>
      <c r="B24" s="4" t="s">
        <v>378</v>
      </c>
      <c r="C24" s="4" t="s">
        <v>342</v>
      </c>
      <c r="D24" s="4" t="s">
        <v>338</v>
      </c>
      <c r="E24" s="8" t="s">
        <v>351</v>
      </c>
    </row>
    <row r="25" spans="1:5">
      <c r="A25" s="7" t="s">
        <v>19</v>
      </c>
      <c r="B25" s="4" t="s">
        <v>379</v>
      </c>
      <c r="C25" s="4" t="s">
        <v>342</v>
      </c>
      <c r="D25" s="4" t="s">
        <v>338</v>
      </c>
      <c r="E25" s="8" t="s">
        <v>359</v>
      </c>
    </row>
    <row r="26" spans="1:5">
      <c r="A26" s="7" t="s">
        <v>80</v>
      </c>
      <c r="B26" s="4" t="s">
        <v>380</v>
      </c>
      <c r="C26" s="4" t="s">
        <v>165</v>
      </c>
      <c r="D26" s="4" t="s">
        <v>338</v>
      </c>
      <c r="E26" s="8" t="s">
        <v>359</v>
      </c>
    </row>
    <row r="27" spans="1:5">
      <c r="A27" s="7" t="s">
        <v>381</v>
      </c>
      <c r="B27" s="4" t="s">
        <v>382</v>
      </c>
      <c r="C27" s="4" t="s">
        <v>165</v>
      </c>
      <c r="D27" s="4" t="s">
        <v>350</v>
      </c>
      <c r="E27" s="8" t="s">
        <v>356</v>
      </c>
    </row>
    <row r="28" spans="1:5">
      <c r="A28" s="7" t="s">
        <v>383</v>
      </c>
      <c r="B28" s="4" t="s">
        <v>384</v>
      </c>
      <c r="C28" s="4" t="s">
        <v>342</v>
      </c>
      <c r="D28" s="4" t="s">
        <v>347</v>
      </c>
      <c r="E28" s="8" t="s">
        <v>359</v>
      </c>
    </row>
    <row r="29" spans="1:5">
      <c r="A29" s="7" t="s">
        <v>131</v>
      </c>
      <c r="B29" s="4" t="s">
        <v>385</v>
      </c>
      <c r="C29" s="4" t="s">
        <v>176</v>
      </c>
      <c r="D29" s="4" t="s">
        <v>343</v>
      </c>
      <c r="E29" s="8" t="s">
        <v>344</v>
      </c>
    </row>
    <row r="30" spans="1:5">
      <c r="A30" s="7" t="s">
        <v>386</v>
      </c>
      <c r="B30" s="4" t="s">
        <v>387</v>
      </c>
      <c r="C30" s="4" t="s">
        <v>176</v>
      </c>
      <c r="D30" s="4" t="s">
        <v>363</v>
      </c>
      <c r="E30" s="8" t="s">
        <v>351</v>
      </c>
    </row>
    <row r="31" spans="1:5">
      <c r="A31" s="7" t="s">
        <v>87</v>
      </c>
      <c r="B31" s="4" t="s">
        <v>388</v>
      </c>
      <c r="C31" s="4" t="s">
        <v>342</v>
      </c>
      <c r="D31" s="4" t="s">
        <v>343</v>
      </c>
      <c r="E31" s="8" t="s">
        <v>339</v>
      </c>
    </row>
    <row r="32" spans="1:5">
      <c r="A32" s="7" t="s">
        <v>137</v>
      </c>
      <c r="B32" s="4" t="s">
        <v>389</v>
      </c>
      <c r="C32" s="4" t="s">
        <v>176</v>
      </c>
      <c r="D32" s="4" t="s">
        <v>347</v>
      </c>
      <c r="E32" s="8" t="s">
        <v>359</v>
      </c>
    </row>
    <row r="33" spans="1:5">
      <c r="A33" s="7" t="s">
        <v>54</v>
      </c>
      <c r="B33" s="4" t="s">
        <v>390</v>
      </c>
      <c r="C33" s="4" t="s">
        <v>342</v>
      </c>
      <c r="D33" s="4" t="s">
        <v>363</v>
      </c>
      <c r="E33" s="8" t="s">
        <v>344</v>
      </c>
    </row>
    <row r="34" spans="1:5">
      <c r="A34" s="7" t="s">
        <v>391</v>
      </c>
      <c r="B34" s="4" t="s">
        <v>392</v>
      </c>
      <c r="C34" s="4" t="s">
        <v>176</v>
      </c>
      <c r="D34" s="4" t="s">
        <v>347</v>
      </c>
      <c r="E34" s="8" t="s">
        <v>339</v>
      </c>
    </row>
    <row r="35" spans="1:5">
      <c r="A35" s="7" t="s">
        <v>393</v>
      </c>
      <c r="B35" s="4" t="s">
        <v>394</v>
      </c>
      <c r="C35" s="4" t="s">
        <v>176</v>
      </c>
      <c r="D35" s="4" t="s">
        <v>338</v>
      </c>
      <c r="E35" s="8" t="s">
        <v>351</v>
      </c>
    </row>
    <row r="36" spans="1:5">
      <c r="A36" s="7" t="s">
        <v>23</v>
      </c>
      <c r="B36" s="4" t="s">
        <v>395</v>
      </c>
      <c r="C36" s="4" t="s">
        <v>165</v>
      </c>
      <c r="D36" s="4" t="s">
        <v>363</v>
      </c>
      <c r="E36" s="8" t="s">
        <v>339</v>
      </c>
    </row>
    <row r="37" spans="1:5">
      <c r="A37" s="7" t="s">
        <v>40</v>
      </c>
      <c r="B37" s="4" t="s">
        <v>396</v>
      </c>
      <c r="C37" s="4" t="s">
        <v>165</v>
      </c>
      <c r="D37" s="4" t="s">
        <v>338</v>
      </c>
      <c r="E37" s="8" t="s">
        <v>344</v>
      </c>
    </row>
    <row r="38" spans="1:5">
      <c r="A38" s="7" t="s">
        <v>65</v>
      </c>
      <c r="B38" s="4" t="s">
        <v>397</v>
      </c>
      <c r="C38" s="4" t="s">
        <v>176</v>
      </c>
      <c r="D38" s="4" t="s">
        <v>343</v>
      </c>
      <c r="E38" s="8" t="s">
        <v>339</v>
      </c>
    </row>
    <row r="39" spans="1:5">
      <c r="A39" s="7" t="s">
        <v>398</v>
      </c>
      <c r="B39" s="4" t="s">
        <v>399</v>
      </c>
      <c r="C39" s="4" t="s">
        <v>176</v>
      </c>
      <c r="D39" s="4" t="s">
        <v>343</v>
      </c>
      <c r="E39" s="8" t="s">
        <v>356</v>
      </c>
    </row>
    <row r="40" spans="1:5">
      <c r="A40" s="7" t="s">
        <v>50</v>
      </c>
      <c r="B40" s="4" t="s">
        <v>400</v>
      </c>
      <c r="C40" s="4" t="s">
        <v>165</v>
      </c>
      <c r="D40" s="4" t="s">
        <v>363</v>
      </c>
      <c r="E40" s="8" t="s">
        <v>339</v>
      </c>
    </row>
    <row r="41" spans="1:5">
      <c r="A41" s="7" t="s">
        <v>401</v>
      </c>
      <c r="B41" s="4" t="s">
        <v>402</v>
      </c>
      <c r="C41" s="4" t="s">
        <v>165</v>
      </c>
      <c r="D41" s="4" t="s">
        <v>363</v>
      </c>
      <c r="E41" s="8" t="s">
        <v>359</v>
      </c>
    </row>
    <row r="42" spans="1:5">
      <c r="A42" s="7" t="s">
        <v>85</v>
      </c>
      <c r="B42" s="4" t="s">
        <v>403</v>
      </c>
      <c r="C42" s="4" t="s">
        <v>165</v>
      </c>
      <c r="D42" s="4" t="s">
        <v>347</v>
      </c>
      <c r="E42" s="8" t="s">
        <v>359</v>
      </c>
    </row>
    <row r="43" spans="1:5">
      <c r="A43" s="7" t="s">
        <v>404</v>
      </c>
      <c r="B43" s="4" t="s">
        <v>405</v>
      </c>
      <c r="C43" s="4" t="s">
        <v>342</v>
      </c>
      <c r="D43" s="4" t="s">
        <v>347</v>
      </c>
      <c r="E43" s="8" t="s">
        <v>356</v>
      </c>
    </row>
    <row r="44" spans="1:5">
      <c r="A44" s="7" t="s">
        <v>406</v>
      </c>
      <c r="B44" s="4" t="s">
        <v>407</v>
      </c>
      <c r="C44" s="4" t="s">
        <v>176</v>
      </c>
      <c r="D44" s="4" t="s">
        <v>338</v>
      </c>
      <c r="E44" s="8" t="s">
        <v>344</v>
      </c>
    </row>
    <row r="45" spans="1:5">
      <c r="A45" s="7" t="s">
        <v>408</v>
      </c>
      <c r="B45" s="4" t="s">
        <v>409</v>
      </c>
      <c r="C45" s="4" t="s">
        <v>165</v>
      </c>
      <c r="D45" s="4" t="s">
        <v>363</v>
      </c>
      <c r="E45" s="8" t="s">
        <v>359</v>
      </c>
    </row>
    <row r="46" spans="1:5">
      <c r="A46" s="7" t="s">
        <v>410</v>
      </c>
      <c r="B46" s="4" t="s">
        <v>411</v>
      </c>
      <c r="C46" s="4" t="s">
        <v>176</v>
      </c>
      <c r="D46" s="4" t="s">
        <v>343</v>
      </c>
      <c r="E46" s="8" t="s">
        <v>351</v>
      </c>
    </row>
    <row r="47" spans="1:5">
      <c r="A47" s="7" t="s">
        <v>412</v>
      </c>
      <c r="B47" s="4" t="s">
        <v>413</v>
      </c>
      <c r="C47" s="4" t="s">
        <v>342</v>
      </c>
      <c r="D47" s="4" t="s">
        <v>347</v>
      </c>
      <c r="E47" s="8" t="s">
        <v>359</v>
      </c>
    </row>
    <row r="48" spans="1:5">
      <c r="A48" s="7" t="s">
        <v>142</v>
      </c>
      <c r="B48" s="4" t="s">
        <v>414</v>
      </c>
      <c r="C48" s="4" t="s">
        <v>342</v>
      </c>
      <c r="D48" s="4" t="s">
        <v>347</v>
      </c>
      <c r="E48" s="8" t="s">
        <v>359</v>
      </c>
    </row>
    <row r="49" spans="1:5">
      <c r="A49" s="7" t="s">
        <v>36</v>
      </c>
      <c r="B49" s="4" t="s">
        <v>415</v>
      </c>
      <c r="C49" s="4" t="s">
        <v>165</v>
      </c>
      <c r="D49" s="4" t="s">
        <v>343</v>
      </c>
      <c r="E49" s="8" t="s">
        <v>344</v>
      </c>
    </row>
    <row r="50" spans="1:5">
      <c r="A50" s="7" t="s">
        <v>28</v>
      </c>
      <c r="B50" s="4" t="s">
        <v>416</v>
      </c>
      <c r="C50" s="4" t="s">
        <v>342</v>
      </c>
      <c r="D50" s="4" t="s">
        <v>347</v>
      </c>
      <c r="E50" s="8" t="s">
        <v>339</v>
      </c>
    </row>
    <row r="51" spans="1:5">
      <c r="A51" s="12" t="s">
        <v>417</v>
      </c>
      <c r="B51" s="6" t="s">
        <v>418</v>
      </c>
      <c r="C51" s="6" t="s">
        <v>176</v>
      </c>
      <c r="D51" s="6" t="s">
        <v>338</v>
      </c>
      <c r="E51" s="13" t="s">
        <v>359</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workbookViewId="0">
      <pane ySplit="1" topLeftCell="A2" activePane="bottomLeft" state="frozen"/>
      <selection pane="bottomLeft" activeCell="F22" sqref="F22"/>
    </sheetView>
  </sheetViews>
  <sheetFormatPr defaultRowHeight="14.5"/>
  <cols>
    <col min="1" max="1" width="21" style="1" customWidth="1"/>
    <col min="2" max="2" width="16" style="1" customWidth="1"/>
    <col min="3" max="3" width="10.6328125" style="2" customWidth="1"/>
  </cols>
  <sheetData>
    <row r="1" spans="1:3">
      <c r="A1" s="9" t="s">
        <v>419</v>
      </c>
      <c r="B1" s="10" t="s">
        <v>4</v>
      </c>
      <c r="C1" s="15" t="s">
        <v>420</v>
      </c>
    </row>
    <row r="2" spans="1:3">
      <c r="A2" s="17">
        <v>46023</v>
      </c>
      <c r="B2" s="4" t="s">
        <v>146</v>
      </c>
      <c r="C2" s="14">
        <v>593518</v>
      </c>
    </row>
    <row r="3" spans="1:3">
      <c r="A3" s="17">
        <v>46054</v>
      </c>
      <c r="B3" s="4" t="s">
        <v>357</v>
      </c>
      <c r="C3" s="14">
        <v>675774</v>
      </c>
    </row>
    <row r="4" spans="1:3">
      <c r="A4" s="17">
        <v>46082</v>
      </c>
      <c r="B4" s="4" t="s">
        <v>348</v>
      </c>
      <c r="C4" s="14">
        <v>593271</v>
      </c>
    </row>
    <row r="5" spans="1:3">
      <c r="A5" s="17">
        <v>46113</v>
      </c>
      <c r="B5" s="4" t="s">
        <v>401</v>
      </c>
      <c r="C5" s="14">
        <v>311317</v>
      </c>
    </row>
    <row r="6" spans="1:3">
      <c r="A6" s="17">
        <v>46143</v>
      </c>
      <c r="B6" s="4" t="s">
        <v>348</v>
      </c>
      <c r="C6" s="14">
        <v>339789</v>
      </c>
    </row>
    <row r="7" spans="1:3">
      <c r="A7" s="17">
        <v>46174</v>
      </c>
      <c r="B7" s="4" t="s">
        <v>80</v>
      </c>
      <c r="C7" s="14">
        <v>589593</v>
      </c>
    </row>
    <row r="8" spans="1:3">
      <c r="A8" s="17">
        <v>46204</v>
      </c>
      <c r="B8" s="4" t="s">
        <v>345</v>
      </c>
      <c r="C8" s="14">
        <v>490843</v>
      </c>
    </row>
    <row r="9" spans="1:3">
      <c r="A9" s="17">
        <v>46235</v>
      </c>
      <c r="B9" s="4" t="s">
        <v>54</v>
      </c>
      <c r="C9" s="14">
        <v>273686</v>
      </c>
    </row>
    <row r="10" spans="1:3">
      <c r="A10" s="17">
        <v>46266</v>
      </c>
      <c r="B10" s="4" t="s">
        <v>345</v>
      </c>
      <c r="C10" s="14">
        <v>267661</v>
      </c>
    </row>
    <row r="11" spans="1:3">
      <c r="A11" s="17">
        <v>46296</v>
      </c>
      <c r="B11" s="4" t="s">
        <v>383</v>
      </c>
      <c r="C11" s="14">
        <v>244247</v>
      </c>
    </row>
    <row r="12" spans="1:3">
      <c r="A12" s="17">
        <v>46327</v>
      </c>
      <c r="B12" s="4" t="s">
        <v>386</v>
      </c>
      <c r="C12" s="14">
        <v>445121</v>
      </c>
    </row>
    <row r="13" spans="1:3">
      <c r="A13" s="17">
        <v>46357</v>
      </c>
      <c r="B13" s="4" t="s">
        <v>54</v>
      </c>
      <c r="C13" s="14">
        <v>347820</v>
      </c>
    </row>
    <row r="14" spans="1:3">
      <c r="A14" s="17">
        <v>46388</v>
      </c>
      <c r="B14" s="4" t="s">
        <v>417</v>
      </c>
      <c r="C14" s="14">
        <v>567257</v>
      </c>
    </row>
    <row r="15" spans="1:3">
      <c r="A15" s="17">
        <v>46419</v>
      </c>
      <c r="B15" s="4" t="s">
        <v>110</v>
      </c>
      <c r="C15" s="14">
        <v>466765</v>
      </c>
    </row>
    <row r="16" spans="1:3">
      <c r="A16" s="17">
        <v>46447</v>
      </c>
      <c r="B16" s="4" t="s">
        <v>157</v>
      </c>
      <c r="C16" s="14">
        <v>346106</v>
      </c>
    </row>
    <row r="17" spans="1:3">
      <c r="A17" s="17">
        <v>46478</v>
      </c>
      <c r="B17" s="4" t="s">
        <v>149</v>
      </c>
      <c r="C17" s="14">
        <v>458930</v>
      </c>
    </row>
    <row r="18" spans="1:3">
      <c r="A18" s="17">
        <v>46508</v>
      </c>
      <c r="B18" s="4" t="s">
        <v>44</v>
      </c>
      <c r="C18" s="14">
        <v>598342</v>
      </c>
    </row>
    <row r="19" spans="1:3">
      <c r="A19" s="17">
        <v>46539</v>
      </c>
      <c r="B19" s="4" t="s">
        <v>131</v>
      </c>
      <c r="C19" s="14">
        <v>336194</v>
      </c>
    </row>
    <row r="20" spans="1:3">
      <c r="A20" s="17">
        <v>46569</v>
      </c>
      <c r="B20" s="4" t="s">
        <v>404</v>
      </c>
      <c r="C20" s="14">
        <v>480174</v>
      </c>
    </row>
    <row r="21" spans="1:3">
      <c r="A21" s="17">
        <v>46600</v>
      </c>
      <c r="B21" s="4" t="s">
        <v>104</v>
      </c>
      <c r="C21" s="14">
        <v>544982</v>
      </c>
    </row>
    <row r="22" spans="1:3">
      <c r="A22" s="17">
        <v>46631</v>
      </c>
      <c r="B22" s="4" t="s">
        <v>157</v>
      </c>
      <c r="C22" s="14">
        <v>546861</v>
      </c>
    </row>
    <row r="23" spans="1:3">
      <c r="A23" s="17">
        <v>46661</v>
      </c>
      <c r="B23" s="4" t="s">
        <v>353</v>
      </c>
      <c r="C23" s="14">
        <v>648874</v>
      </c>
    </row>
    <row r="24" spans="1:3">
      <c r="A24" s="17">
        <v>46692</v>
      </c>
      <c r="B24" s="4" t="s">
        <v>336</v>
      </c>
      <c r="C24" s="14">
        <v>238638</v>
      </c>
    </row>
    <row r="25" spans="1:3">
      <c r="A25" s="17">
        <v>46722</v>
      </c>
      <c r="B25" s="4" t="s">
        <v>149</v>
      </c>
      <c r="C25" s="14">
        <v>529211</v>
      </c>
    </row>
    <row r="26" spans="1:3">
      <c r="A26" s="17">
        <v>46753</v>
      </c>
      <c r="B26" s="4" t="s">
        <v>85</v>
      </c>
      <c r="C26" s="14">
        <v>699692</v>
      </c>
    </row>
    <row r="27" spans="1:3">
      <c r="A27" s="17">
        <v>46784</v>
      </c>
      <c r="B27" s="4" t="s">
        <v>67</v>
      </c>
      <c r="C27" s="14">
        <v>318033</v>
      </c>
    </row>
    <row r="28" spans="1:3">
      <c r="A28" s="17">
        <v>46813</v>
      </c>
      <c r="B28" s="4" t="s">
        <v>381</v>
      </c>
      <c r="C28" s="14">
        <v>305977</v>
      </c>
    </row>
    <row r="29" spans="1:3">
      <c r="A29" s="17">
        <v>46844</v>
      </c>
      <c r="B29" s="4" t="s">
        <v>412</v>
      </c>
      <c r="C29" s="14">
        <v>288869</v>
      </c>
    </row>
    <row r="30" spans="1:3">
      <c r="A30" s="17">
        <v>46874</v>
      </c>
      <c r="B30" s="4" t="s">
        <v>393</v>
      </c>
      <c r="C30" s="14">
        <v>305186</v>
      </c>
    </row>
    <row r="31" spans="1:3">
      <c r="A31" s="17">
        <v>46905</v>
      </c>
      <c r="B31" s="4" t="s">
        <v>28</v>
      </c>
      <c r="C31" s="14">
        <v>496818</v>
      </c>
    </row>
    <row r="32" spans="1:3">
      <c r="A32" s="17">
        <v>46935</v>
      </c>
      <c r="B32" s="4" t="s">
        <v>134</v>
      </c>
      <c r="C32" s="14">
        <v>366926</v>
      </c>
    </row>
    <row r="33" spans="1:3">
      <c r="A33" s="17">
        <v>46966</v>
      </c>
      <c r="B33" s="4" t="s">
        <v>381</v>
      </c>
      <c r="C33" s="14">
        <v>246271</v>
      </c>
    </row>
    <row r="34" spans="1:3">
      <c r="A34" s="17">
        <v>46997</v>
      </c>
      <c r="B34" s="4" t="s">
        <v>410</v>
      </c>
      <c r="C34" s="14">
        <v>535832</v>
      </c>
    </row>
    <row r="35" spans="1:3">
      <c r="A35" s="17">
        <v>47027</v>
      </c>
      <c r="B35" s="4" t="s">
        <v>383</v>
      </c>
      <c r="C35" s="14">
        <v>631734</v>
      </c>
    </row>
    <row r="36" spans="1:3">
      <c r="A36" s="17">
        <v>47058</v>
      </c>
      <c r="B36" s="4" t="s">
        <v>13</v>
      </c>
      <c r="C36" s="14">
        <v>573220</v>
      </c>
    </row>
    <row r="37" spans="1:3">
      <c r="A37" s="17">
        <v>47088</v>
      </c>
      <c r="B37" s="4" t="s">
        <v>381</v>
      </c>
      <c r="C37" s="14">
        <v>341339</v>
      </c>
    </row>
    <row r="38" spans="1:3">
      <c r="A38" s="17">
        <v>47119</v>
      </c>
      <c r="B38" s="4" t="s">
        <v>142</v>
      </c>
      <c r="C38" s="14">
        <v>421897</v>
      </c>
    </row>
    <row r="39" spans="1:3">
      <c r="A39" s="17">
        <v>47150</v>
      </c>
      <c r="B39" s="4" t="s">
        <v>104</v>
      </c>
      <c r="C39" s="14">
        <v>201062</v>
      </c>
    </row>
    <row r="40" spans="1:3">
      <c r="A40" s="17">
        <v>47178</v>
      </c>
      <c r="B40" s="4" t="s">
        <v>142</v>
      </c>
      <c r="C40" s="14">
        <v>447736</v>
      </c>
    </row>
    <row r="41" spans="1:3">
      <c r="A41" s="17">
        <v>47209</v>
      </c>
      <c r="B41" s="4" t="s">
        <v>87</v>
      </c>
      <c r="C41" s="14">
        <v>250448</v>
      </c>
    </row>
    <row r="42" spans="1:3">
      <c r="A42" s="17">
        <v>47239</v>
      </c>
      <c r="B42" s="4" t="s">
        <v>406</v>
      </c>
      <c r="C42" s="14">
        <v>295462</v>
      </c>
    </row>
    <row r="43" spans="1:3">
      <c r="A43" s="17">
        <v>47270</v>
      </c>
      <c r="B43" s="4" t="s">
        <v>36</v>
      </c>
      <c r="C43" s="14">
        <v>599445</v>
      </c>
    </row>
    <row r="44" spans="1:3">
      <c r="A44" s="17">
        <v>47300</v>
      </c>
      <c r="B44" s="4" t="s">
        <v>90</v>
      </c>
      <c r="C44" s="14">
        <v>650009</v>
      </c>
    </row>
    <row r="45" spans="1:3">
      <c r="A45" s="17">
        <v>47331</v>
      </c>
      <c r="B45" s="4" t="s">
        <v>381</v>
      </c>
      <c r="C45" s="14">
        <v>445885</v>
      </c>
    </row>
    <row r="46" spans="1:3">
      <c r="A46" s="17">
        <v>47362</v>
      </c>
      <c r="B46" s="4" t="s">
        <v>40</v>
      </c>
      <c r="C46" s="14">
        <v>247915</v>
      </c>
    </row>
    <row r="47" spans="1:3">
      <c r="A47" s="17">
        <v>47392</v>
      </c>
      <c r="B47" s="4" t="s">
        <v>336</v>
      </c>
      <c r="C47" s="14">
        <v>466776</v>
      </c>
    </row>
    <row r="48" spans="1:3">
      <c r="A48" s="17">
        <v>47423</v>
      </c>
      <c r="B48" s="4" t="s">
        <v>357</v>
      </c>
      <c r="C48" s="14">
        <v>304592</v>
      </c>
    </row>
    <row r="49" spans="1:3">
      <c r="A49" s="17">
        <v>47453</v>
      </c>
      <c r="B49" s="4" t="s">
        <v>28</v>
      </c>
      <c r="C49" s="14">
        <v>334668</v>
      </c>
    </row>
    <row r="50" spans="1:3">
      <c r="A50" s="17">
        <v>47484</v>
      </c>
      <c r="B50" s="4" t="s">
        <v>23</v>
      </c>
      <c r="C50" s="14">
        <v>571923</v>
      </c>
    </row>
    <row r="51" spans="1:3">
      <c r="A51" s="18">
        <v>47515</v>
      </c>
      <c r="B51" s="6" t="s">
        <v>369</v>
      </c>
      <c r="C51" s="16">
        <v>599384</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1"/>
  <sheetViews>
    <sheetView workbookViewId="0">
      <pane ySplit="1" topLeftCell="A37" activePane="bottomLeft" state="frozen"/>
      <selection pane="bottomLeft" activeCell="K44" sqref="K44"/>
    </sheetView>
  </sheetViews>
  <sheetFormatPr defaultRowHeight="14.5"/>
  <cols>
    <col min="1" max="1" width="21" style="1" customWidth="1"/>
    <col min="2" max="2" width="6.54296875" style="1" customWidth="1"/>
    <col min="3" max="3" width="10" customWidth="1"/>
    <col min="4" max="4" width="16.36328125" style="1" customWidth="1"/>
    <col min="5" max="5" width="10.54296875" style="1" customWidth="1"/>
    <col min="6" max="6" width="15.453125" style="1" customWidth="1"/>
    <col min="7" max="7" width="11" style="1" customWidth="1"/>
  </cols>
  <sheetData>
    <row r="1" spans="1:7">
      <c r="A1" s="9" t="s">
        <v>1</v>
      </c>
      <c r="B1" s="10" t="s">
        <v>421</v>
      </c>
      <c r="C1" s="10" t="s">
        <v>419</v>
      </c>
      <c r="D1" s="10" t="s">
        <v>422</v>
      </c>
      <c r="E1" s="10" t="s">
        <v>423</v>
      </c>
      <c r="F1" s="10" t="s">
        <v>424</v>
      </c>
      <c r="G1" s="11" t="s">
        <v>425</v>
      </c>
    </row>
    <row r="2" spans="1:7">
      <c r="A2" s="19">
        <v>46023</v>
      </c>
      <c r="B2" s="4">
        <v>2026</v>
      </c>
      <c r="C2" s="3" t="s">
        <v>426</v>
      </c>
      <c r="D2" s="4">
        <v>1</v>
      </c>
      <c r="E2" s="4" t="s">
        <v>427</v>
      </c>
      <c r="F2" s="4">
        <v>1</v>
      </c>
      <c r="G2" s="8" t="s">
        <v>428</v>
      </c>
    </row>
    <row r="3" spans="1:7">
      <c r="A3" s="19">
        <v>46024</v>
      </c>
      <c r="B3" s="4">
        <v>2026</v>
      </c>
      <c r="C3" s="3" t="s">
        <v>426</v>
      </c>
      <c r="D3" s="4">
        <v>1</v>
      </c>
      <c r="E3" s="4" t="s">
        <v>427</v>
      </c>
      <c r="F3" s="4">
        <v>1</v>
      </c>
      <c r="G3" s="8" t="s">
        <v>429</v>
      </c>
    </row>
    <row r="4" spans="1:7">
      <c r="A4" s="19">
        <v>46025</v>
      </c>
      <c r="B4" s="4">
        <v>2026</v>
      </c>
      <c r="C4" s="3" t="s">
        <v>426</v>
      </c>
      <c r="D4" s="4">
        <v>1</v>
      </c>
      <c r="E4" s="4" t="s">
        <v>427</v>
      </c>
      <c r="F4" s="4">
        <v>1</v>
      </c>
      <c r="G4" s="8" t="s">
        <v>430</v>
      </c>
    </row>
    <row r="5" spans="1:7">
      <c r="A5" s="19">
        <v>46026</v>
      </c>
      <c r="B5" s="4">
        <v>2026</v>
      </c>
      <c r="C5" s="3" t="s">
        <v>426</v>
      </c>
      <c r="D5" s="4">
        <v>1</v>
      </c>
      <c r="E5" s="4" t="s">
        <v>427</v>
      </c>
      <c r="F5" s="4">
        <v>1</v>
      </c>
      <c r="G5" s="8" t="s">
        <v>431</v>
      </c>
    </row>
    <row r="6" spans="1:7">
      <c r="A6" s="19">
        <v>46027</v>
      </c>
      <c r="B6" s="4">
        <v>2026</v>
      </c>
      <c r="C6" s="3" t="s">
        <v>426</v>
      </c>
      <c r="D6" s="4">
        <v>1</v>
      </c>
      <c r="E6" s="4" t="s">
        <v>427</v>
      </c>
      <c r="F6" s="4">
        <v>2</v>
      </c>
      <c r="G6" s="8" t="s">
        <v>432</v>
      </c>
    </row>
    <row r="7" spans="1:7">
      <c r="A7" s="19">
        <v>46028</v>
      </c>
      <c r="B7" s="4">
        <v>2026</v>
      </c>
      <c r="C7" s="3" t="s">
        <v>426</v>
      </c>
      <c r="D7" s="4">
        <v>1</v>
      </c>
      <c r="E7" s="4" t="s">
        <v>427</v>
      </c>
      <c r="F7" s="4">
        <v>2</v>
      </c>
      <c r="G7" s="8" t="s">
        <v>433</v>
      </c>
    </row>
    <row r="8" spans="1:7">
      <c r="A8" s="19">
        <v>46029</v>
      </c>
      <c r="B8" s="4">
        <v>2026</v>
      </c>
      <c r="C8" s="3" t="s">
        <v>426</v>
      </c>
      <c r="D8" s="4">
        <v>1</v>
      </c>
      <c r="E8" s="4" t="s">
        <v>427</v>
      </c>
      <c r="F8" s="4">
        <v>2</v>
      </c>
      <c r="G8" s="8" t="s">
        <v>434</v>
      </c>
    </row>
    <row r="9" spans="1:7">
      <c r="A9" s="19">
        <v>46030</v>
      </c>
      <c r="B9" s="4">
        <v>2026</v>
      </c>
      <c r="C9" s="3" t="s">
        <v>426</v>
      </c>
      <c r="D9" s="4">
        <v>1</v>
      </c>
      <c r="E9" s="4" t="s">
        <v>427</v>
      </c>
      <c r="F9" s="4">
        <v>2</v>
      </c>
      <c r="G9" s="8" t="s">
        <v>428</v>
      </c>
    </row>
    <row r="10" spans="1:7">
      <c r="A10" s="19">
        <v>46031</v>
      </c>
      <c r="B10" s="4">
        <v>2026</v>
      </c>
      <c r="C10" s="3" t="s">
        <v>426</v>
      </c>
      <c r="D10" s="4">
        <v>1</v>
      </c>
      <c r="E10" s="4" t="s">
        <v>427</v>
      </c>
      <c r="F10" s="4">
        <v>2</v>
      </c>
      <c r="G10" s="8" t="s">
        <v>429</v>
      </c>
    </row>
    <row r="11" spans="1:7">
      <c r="A11" s="19">
        <v>46032</v>
      </c>
      <c r="B11" s="4">
        <v>2026</v>
      </c>
      <c r="C11" s="3" t="s">
        <v>426</v>
      </c>
      <c r="D11" s="4">
        <v>1</v>
      </c>
      <c r="E11" s="4" t="s">
        <v>427</v>
      </c>
      <c r="F11" s="4">
        <v>2</v>
      </c>
      <c r="G11" s="8" t="s">
        <v>430</v>
      </c>
    </row>
    <row r="12" spans="1:7">
      <c r="A12" s="19">
        <v>46033</v>
      </c>
      <c r="B12" s="4">
        <v>2026</v>
      </c>
      <c r="C12" s="3" t="s">
        <v>426</v>
      </c>
      <c r="D12" s="4">
        <v>1</v>
      </c>
      <c r="E12" s="4" t="s">
        <v>427</v>
      </c>
      <c r="F12" s="4">
        <v>2</v>
      </c>
      <c r="G12" s="8" t="s">
        <v>431</v>
      </c>
    </row>
    <row r="13" spans="1:7">
      <c r="A13" s="19">
        <v>46034</v>
      </c>
      <c r="B13" s="4">
        <v>2026</v>
      </c>
      <c r="C13" s="3" t="s">
        <v>426</v>
      </c>
      <c r="D13" s="4">
        <v>1</v>
      </c>
      <c r="E13" s="4" t="s">
        <v>427</v>
      </c>
      <c r="F13" s="4">
        <v>3</v>
      </c>
      <c r="G13" s="8" t="s">
        <v>432</v>
      </c>
    </row>
    <row r="14" spans="1:7">
      <c r="A14" s="19">
        <v>46035</v>
      </c>
      <c r="B14" s="4">
        <v>2026</v>
      </c>
      <c r="C14" s="3" t="s">
        <v>426</v>
      </c>
      <c r="D14" s="4">
        <v>1</v>
      </c>
      <c r="E14" s="4" t="s">
        <v>427</v>
      </c>
      <c r="F14" s="4">
        <v>3</v>
      </c>
      <c r="G14" s="8" t="s">
        <v>433</v>
      </c>
    </row>
    <row r="15" spans="1:7">
      <c r="A15" s="19">
        <v>46036</v>
      </c>
      <c r="B15" s="4">
        <v>2026</v>
      </c>
      <c r="C15" s="3" t="s">
        <v>426</v>
      </c>
      <c r="D15" s="4">
        <v>1</v>
      </c>
      <c r="E15" s="4" t="s">
        <v>427</v>
      </c>
      <c r="F15" s="4">
        <v>3</v>
      </c>
      <c r="G15" s="8" t="s">
        <v>434</v>
      </c>
    </row>
    <row r="16" spans="1:7">
      <c r="A16" s="19">
        <v>46037</v>
      </c>
      <c r="B16" s="4">
        <v>2026</v>
      </c>
      <c r="C16" s="3" t="s">
        <v>426</v>
      </c>
      <c r="D16" s="4">
        <v>1</v>
      </c>
      <c r="E16" s="4" t="s">
        <v>427</v>
      </c>
      <c r="F16" s="4">
        <v>3</v>
      </c>
      <c r="G16" s="8" t="s">
        <v>428</v>
      </c>
    </row>
    <row r="17" spans="1:7">
      <c r="A17" s="19">
        <v>46038</v>
      </c>
      <c r="B17" s="4">
        <v>2026</v>
      </c>
      <c r="C17" s="3" t="s">
        <v>426</v>
      </c>
      <c r="D17" s="4">
        <v>1</v>
      </c>
      <c r="E17" s="4" t="s">
        <v>427</v>
      </c>
      <c r="F17" s="4">
        <v>3</v>
      </c>
      <c r="G17" s="8" t="s">
        <v>429</v>
      </c>
    </row>
    <row r="18" spans="1:7">
      <c r="A18" s="19">
        <v>46039</v>
      </c>
      <c r="B18" s="4">
        <v>2026</v>
      </c>
      <c r="C18" s="3" t="s">
        <v>426</v>
      </c>
      <c r="D18" s="4">
        <v>1</v>
      </c>
      <c r="E18" s="4" t="s">
        <v>427</v>
      </c>
      <c r="F18" s="4">
        <v>3</v>
      </c>
      <c r="G18" s="8" t="s">
        <v>430</v>
      </c>
    </row>
    <row r="19" spans="1:7">
      <c r="A19" s="19">
        <v>46040</v>
      </c>
      <c r="B19" s="4">
        <v>2026</v>
      </c>
      <c r="C19" s="3" t="s">
        <v>426</v>
      </c>
      <c r="D19" s="4">
        <v>1</v>
      </c>
      <c r="E19" s="4" t="s">
        <v>427</v>
      </c>
      <c r="F19" s="4">
        <v>3</v>
      </c>
      <c r="G19" s="8" t="s">
        <v>431</v>
      </c>
    </row>
    <row r="20" spans="1:7">
      <c r="A20" s="19">
        <v>46041</v>
      </c>
      <c r="B20" s="4">
        <v>2026</v>
      </c>
      <c r="C20" s="3" t="s">
        <v>426</v>
      </c>
      <c r="D20" s="4">
        <v>1</v>
      </c>
      <c r="E20" s="4" t="s">
        <v>427</v>
      </c>
      <c r="F20" s="4">
        <v>4</v>
      </c>
      <c r="G20" s="8" t="s">
        <v>432</v>
      </c>
    </row>
    <row r="21" spans="1:7">
      <c r="A21" s="19">
        <v>46042</v>
      </c>
      <c r="B21" s="4">
        <v>2026</v>
      </c>
      <c r="C21" s="3" t="s">
        <v>426</v>
      </c>
      <c r="D21" s="4">
        <v>1</v>
      </c>
      <c r="E21" s="4" t="s">
        <v>427</v>
      </c>
      <c r="F21" s="4">
        <v>4</v>
      </c>
      <c r="G21" s="8" t="s">
        <v>433</v>
      </c>
    </row>
    <row r="22" spans="1:7">
      <c r="A22" s="19">
        <v>46043</v>
      </c>
      <c r="B22" s="4">
        <v>2026</v>
      </c>
      <c r="C22" s="3" t="s">
        <v>426</v>
      </c>
      <c r="D22" s="4">
        <v>1</v>
      </c>
      <c r="E22" s="4" t="s">
        <v>427</v>
      </c>
      <c r="F22" s="4">
        <v>4</v>
      </c>
      <c r="G22" s="8" t="s">
        <v>434</v>
      </c>
    </row>
    <row r="23" spans="1:7">
      <c r="A23" s="19">
        <v>46044</v>
      </c>
      <c r="B23" s="4">
        <v>2026</v>
      </c>
      <c r="C23" s="3" t="s">
        <v>426</v>
      </c>
      <c r="D23" s="4">
        <v>1</v>
      </c>
      <c r="E23" s="4" t="s">
        <v>427</v>
      </c>
      <c r="F23" s="4">
        <v>4</v>
      </c>
      <c r="G23" s="8" t="s">
        <v>428</v>
      </c>
    </row>
    <row r="24" spans="1:7">
      <c r="A24" s="19">
        <v>46045</v>
      </c>
      <c r="B24" s="4">
        <v>2026</v>
      </c>
      <c r="C24" s="3" t="s">
        <v>426</v>
      </c>
      <c r="D24" s="4">
        <v>1</v>
      </c>
      <c r="E24" s="4" t="s">
        <v>427</v>
      </c>
      <c r="F24" s="4">
        <v>4</v>
      </c>
      <c r="G24" s="8" t="s">
        <v>429</v>
      </c>
    </row>
    <row r="25" spans="1:7">
      <c r="A25" s="19">
        <v>46046</v>
      </c>
      <c r="B25" s="4">
        <v>2026</v>
      </c>
      <c r="C25" s="3" t="s">
        <v>426</v>
      </c>
      <c r="D25" s="4">
        <v>1</v>
      </c>
      <c r="E25" s="4" t="s">
        <v>427</v>
      </c>
      <c r="F25" s="4">
        <v>4</v>
      </c>
      <c r="G25" s="8" t="s">
        <v>430</v>
      </c>
    </row>
    <row r="26" spans="1:7">
      <c r="A26" s="19">
        <v>46047</v>
      </c>
      <c r="B26" s="4">
        <v>2026</v>
      </c>
      <c r="C26" s="3" t="s">
        <v>426</v>
      </c>
      <c r="D26" s="4">
        <v>1</v>
      </c>
      <c r="E26" s="4" t="s">
        <v>427</v>
      </c>
      <c r="F26" s="4">
        <v>4</v>
      </c>
      <c r="G26" s="8" t="s">
        <v>431</v>
      </c>
    </row>
    <row r="27" spans="1:7">
      <c r="A27" s="19">
        <v>46048</v>
      </c>
      <c r="B27" s="4">
        <v>2026</v>
      </c>
      <c r="C27" s="3" t="s">
        <v>426</v>
      </c>
      <c r="D27" s="4">
        <v>1</v>
      </c>
      <c r="E27" s="4" t="s">
        <v>427</v>
      </c>
      <c r="F27" s="4">
        <v>5</v>
      </c>
      <c r="G27" s="8" t="s">
        <v>432</v>
      </c>
    </row>
    <row r="28" spans="1:7">
      <c r="A28" s="19">
        <v>46049</v>
      </c>
      <c r="B28" s="4">
        <v>2026</v>
      </c>
      <c r="C28" s="3" t="s">
        <v>426</v>
      </c>
      <c r="D28" s="4">
        <v>1</v>
      </c>
      <c r="E28" s="4" t="s">
        <v>427</v>
      </c>
      <c r="F28" s="4">
        <v>5</v>
      </c>
      <c r="G28" s="8" t="s">
        <v>433</v>
      </c>
    </row>
    <row r="29" spans="1:7">
      <c r="A29" s="19">
        <v>46050</v>
      </c>
      <c r="B29" s="4">
        <v>2026</v>
      </c>
      <c r="C29" s="3" t="s">
        <v>426</v>
      </c>
      <c r="D29" s="4">
        <v>1</v>
      </c>
      <c r="E29" s="4" t="s">
        <v>427</v>
      </c>
      <c r="F29" s="4">
        <v>5</v>
      </c>
      <c r="G29" s="8" t="s">
        <v>434</v>
      </c>
    </row>
    <row r="30" spans="1:7">
      <c r="A30" s="19">
        <v>46051</v>
      </c>
      <c r="B30" s="4">
        <v>2026</v>
      </c>
      <c r="C30" s="3" t="s">
        <v>426</v>
      </c>
      <c r="D30" s="4">
        <v>1</v>
      </c>
      <c r="E30" s="4" t="s">
        <v>427</v>
      </c>
      <c r="F30" s="4">
        <v>5</v>
      </c>
      <c r="G30" s="8" t="s">
        <v>428</v>
      </c>
    </row>
    <row r="31" spans="1:7">
      <c r="A31" s="19">
        <v>46052</v>
      </c>
      <c r="B31" s="4">
        <v>2026</v>
      </c>
      <c r="C31" s="3" t="s">
        <v>426</v>
      </c>
      <c r="D31" s="4">
        <v>1</v>
      </c>
      <c r="E31" s="4" t="s">
        <v>427</v>
      </c>
      <c r="F31" s="4">
        <v>5</v>
      </c>
      <c r="G31" s="8" t="s">
        <v>429</v>
      </c>
    </row>
    <row r="32" spans="1:7">
      <c r="A32" s="19">
        <v>46053</v>
      </c>
      <c r="B32" s="4">
        <v>2026</v>
      </c>
      <c r="C32" s="3" t="s">
        <v>426</v>
      </c>
      <c r="D32" s="4">
        <v>1</v>
      </c>
      <c r="E32" s="4" t="s">
        <v>427</v>
      </c>
      <c r="F32" s="4">
        <v>5</v>
      </c>
      <c r="G32" s="8" t="s">
        <v>430</v>
      </c>
    </row>
    <row r="33" spans="1:7">
      <c r="A33" s="19">
        <v>46054</v>
      </c>
      <c r="B33" s="4">
        <v>2026</v>
      </c>
      <c r="C33" s="3" t="s">
        <v>435</v>
      </c>
      <c r="D33" s="4">
        <v>2</v>
      </c>
      <c r="E33" s="4" t="s">
        <v>427</v>
      </c>
      <c r="F33" s="4">
        <v>5</v>
      </c>
      <c r="G33" s="8" t="s">
        <v>431</v>
      </c>
    </row>
    <row r="34" spans="1:7">
      <c r="A34" s="19">
        <v>46055</v>
      </c>
      <c r="B34" s="4">
        <v>2026</v>
      </c>
      <c r="C34" s="3" t="s">
        <v>435</v>
      </c>
      <c r="D34" s="4">
        <v>2</v>
      </c>
      <c r="E34" s="4" t="s">
        <v>427</v>
      </c>
      <c r="F34" s="4">
        <v>6</v>
      </c>
      <c r="G34" s="8" t="s">
        <v>432</v>
      </c>
    </row>
    <row r="35" spans="1:7">
      <c r="A35" s="19">
        <v>46056</v>
      </c>
      <c r="B35" s="4">
        <v>2026</v>
      </c>
      <c r="C35" s="3" t="s">
        <v>435</v>
      </c>
      <c r="D35" s="4">
        <v>2</v>
      </c>
      <c r="E35" s="4" t="s">
        <v>427</v>
      </c>
      <c r="F35" s="4">
        <v>6</v>
      </c>
      <c r="G35" s="8" t="s">
        <v>433</v>
      </c>
    </row>
    <row r="36" spans="1:7">
      <c r="A36" s="19">
        <v>46057</v>
      </c>
      <c r="B36" s="4">
        <v>2026</v>
      </c>
      <c r="C36" s="3" t="s">
        <v>435</v>
      </c>
      <c r="D36" s="4">
        <v>2</v>
      </c>
      <c r="E36" s="4" t="s">
        <v>427</v>
      </c>
      <c r="F36" s="4">
        <v>6</v>
      </c>
      <c r="G36" s="8" t="s">
        <v>434</v>
      </c>
    </row>
    <row r="37" spans="1:7">
      <c r="A37" s="19">
        <v>46058</v>
      </c>
      <c r="B37" s="4">
        <v>2026</v>
      </c>
      <c r="C37" s="3" t="s">
        <v>435</v>
      </c>
      <c r="D37" s="4">
        <v>2</v>
      </c>
      <c r="E37" s="4" t="s">
        <v>427</v>
      </c>
      <c r="F37" s="4">
        <v>6</v>
      </c>
      <c r="G37" s="8" t="s">
        <v>428</v>
      </c>
    </row>
    <row r="38" spans="1:7">
      <c r="A38" s="19">
        <v>46059</v>
      </c>
      <c r="B38" s="4">
        <v>2026</v>
      </c>
      <c r="C38" s="3" t="s">
        <v>435</v>
      </c>
      <c r="D38" s="4">
        <v>2</v>
      </c>
      <c r="E38" s="4" t="s">
        <v>427</v>
      </c>
      <c r="F38" s="4">
        <v>6</v>
      </c>
      <c r="G38" s="8" t="s">
        <v>429</v>
      </c>
    </row>
    <row r="39" spans="1:7">
      <c r="A39" s="19">
        <v>46060</v>
      </c>
      <c r="B39" s="4">
        <v>2026</v>
      </c>
      <c r="C39" s="3" t="s">
        <v>435</v>
      </c>
      <c r="D39" s="4">
        <v>2</v>
      </c>
      <c r="E39" s="4" t="s">
        <v>427</v>
      </c>
      <c r="F39" s="4">
        <v>6</v>
      </c>
      <c r="G39" s="8" t="s">
        <v>430</v>
      </c>
    </row>
    <row r="40" spans="1:7">
      <c r="A40" s="19">
        <v>46061</v>
      </c>
      <c r="B40" s="4">
        <v>2026</v>
      </c>
      <c r="C40" s="3" t="s">
        <v>435</v>
      </c>
      <c r="D40" s="4">
        <v>2</v>
      </c>
      <c r="E40" s="4" t="s">
        <v>427</v>
      </c>
      <c r="F40" s="4">
        <v>6</v>
      </c>
      <c r="G40" s="8" t="s">
        <v>431</v>
      </c>
    </row>
    <row r="41" spans="1:7">
      <c r="A41" s="19">
        <v>46062</v>
      </c>
      <c r="B41" s="4">
        <v>2026</v>
      </c>
      <c r="C41" s="3" t="s">
        <v>435</v>
      </c>
      <c r="D41" s="4">
        <v>2</v>
      </c>
      <c r="E41" s="4" t="s">
        <v>427</v>
      </c>
      <c r="F41" s="4">
        <v>7</v>
      </c>
      <c r="G41" s="8" t="s">
        <v>432</v>
      </c>
    </row>
    <row r="42" spans="1:7">
      <c r="A42" s="19">
        <v>46063</v>
      </c>
      <c r="B42" s="4">
        <v>2026</v>
      </c>
      <c r="C42" s="3" t="s">
        <v>435</v>
      </c>
      <c r="D42" s="4">
        <v>2</v>
      </c>
      <c r="E42" s="4" t="s">
        <v>427</v>
      </c>
      <c r="F42" s="4">
        <v>7</v>
      </c>
      <c r="G42" s="8" t="s">
        <v>433</v>
      </c>
    </row>
    <row r="43" spans="1:7">
      <c r="A43" s="19">
        <v>46064</v>
      </c>
      <c r="B43" s="4">
        <v>2026</v>
      </c>
      <c r="C43" s="3" t="s">
        <v>435</v>
      </c>
      <c r="D43" s="4">
        <v>2</v>
      </c>
      <c r="E43" s="4" t="s">
        <v>427</v>
      </c>
      <c r="F43" s="4">
        <v>7</v>
      </c>
      <c r="G43" s="8" t="s">
        <v>434</v>
      </c>
    </row>
    <row r="44" spans="1:7">
      <c r="A44" s="19">
        <v>46065</v>
      </c>
      <c r="B44" s="4">
        <v>2026</v>
      </c>
      <c r="C44" s="3" t="s">
        <v>435</v>
      </c>
      <c r="D44" s="4">
        <v>2</v>
      </c>
      <c r="E44" s="4" t="s">
        <v>427</v>
      </c>
      <c r="F44" s="4">
        <v>7</v>
      </c>
      <c r="G44" s="8" t="s">
        <v>428</v>
      </c>
    </row>
    <row r="45" spans="1:7">
      <c r="A45" s="19">
        <v>46066</v>
      </c>
      <c r="B45" s="4">
        <v>2026</v>
      </c>
      <c r="C45" s="3" t="s">
        <v>435</v>
      </c>
      <c r="D45" s="4">
        <v>2</v>
      </c>
      <c r="E45" s="4" t="s">
        <v>427</v>
      </c>
      <c r="F45" s="4">
        <v>7</v>
      </c>
      <c r="G45" s="8" t="s">
        <v>429</v>
      </c>
    </row>
    <row r="46" spans="1:7">
      <c r="A46" s="19">
        <v>46067</v>
      </c>
      <c r="B46" s="4">
        <v>2026</v>
      </c>
      <c r="C46" s="3" t="s">
        <v>435</v>
      </c>
      <c r="D46" s="4">
        <v>2</v>
      </c>
      <c r="E46" s="4" t="s">
        <v>427</v>
      </c>
      <c r="F46" s="4">
        <v>7</v>
      </c>
      <c r="G46" s="8" t="s">
        <v>430</v>
      </c>
    </row>
    <row r="47" spans="1:7">
      <c r="A47" s="19">
        <v>46068</v>
      </c>
      <c r="B47" s="4">
        <v>2026</v>
      </c>
      <c r="C47" s="3" t="s">
        <v>435</v>
      </c>
      <c r="D47" s="4">
        <v>2</v>
      </c>
      <c r="E47" s="4" t="s">
        <v>427</v>
      </c>
      <c r="F47" s="4">
        <v>7</v>
      </c>
      <c r="G47" s="8" t="s">
        <v>431</v>
      </c>
    </row>
    <row r="48" spans="1:7">
      <c r="A48" s="19">
        <v>46069</v>
      </c>
      <c r="B48" s="4">
        <v>2026</v>
      </c>
      <c r="C48" s="3" t="s">
        <v>435</v>
      </c>
      <c r="D48" s="4">
        <v>2</v>
      </c>
      <c r="E48" s="4" t="s">
        <v>427</v>
      </c>
      <c r="F48" s="4">
        <v>8</v>
      </c>
      <c r="G48" s="8" t="s">
        <v>432</v>
      </c>
    </row>
    <row r="49" spans="1:7">
      <c r="A49" s="19">
        <v>46070</v>
      </c>
      <c r="B49" s="4">
        <v>2026</v>
      </c>
      <c r="C49" s="3" t="s">
        <v>435</v>
      </c>
      <c r="D49" s="4">
        <v>2</v>
      </c>
      <c r="E49" s="4" t="s">
        <v>427</v>
      </c>
      <c r="F49" s="4">
        <v>8</v>
      </c>
      <c r="G49" s="8" t="s">
        <v>433</v>
      </c>
    </row>
    <row r="50" spans="1:7">
      <c r="A50" s="19">
        <v>46071</v>
      </c>
      <c r="B50" s="4">
        <v>2026</v>
      </c>
      <c r="C50" s="3" t="s">
        <v>435</v>
      </c>
      <c r="D50" s="4">
        <v>2</v>
      </c>
      <c r="E50" s="4" t="s">
        <v>427</v>
      </c>
      <c r="F50" s="4">
        <v>8</v>
      </c>
      <c r="G50" s="8" t="s">
        <v>434</v>
      </c>
    </row>
    <row r="51" spans="1:7">
      <c r="A51" s="20">
        <v>46072</v>
      </c>
      <c r="B51" s="6">
        <v>2026</v>
      </c>
      <c r="C51" s="5" t="s">
        <v>435</v>
      </c>
      <c r="D51" s="6">
        <v>2</v>
      </c>
      <c r="E51" s="6" t="s">
        <v>427</v>
      </c>
      <c r="F51" s="6">
        <v>8</v>
      </c>
      <c r="G51" s="13" t="s">
        <v>428</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0"/>
  <sheetViews>
    <sheetView zoomScale="83" workbookViewId="0">
      <pane ySplit="1" topLeftCell="A2" activePane="bottomLeft" state="frozen"/>
      <selection pane="bottomLeft" activeCell="C88" sqref="C87:C88"/>
    </sheetView>
  </sheetViews>
  <sheetFormatPr defaultRowHeight="14.5"/>
  <cols>
    <col min="1" max="1" width="20" customWidth="1"/>
    <col min="2" max="2" width="57.36328125" bestFit="1" customWidth="1"/>
    <col min="3" max="5" width="24" customWidth="1"/>
  </cols>
  <sheetData>
    <row r="1" spans="1:5">
      <c r="A1" s="9" t="s">
        <v>436</v>
      </c>
      <c r="B1" s="10" t="s">
        <v>437</v>
      </c>
      <c r="C1" s="10" t="s">
        <v>438</v>
      </c>
      <c r="D1" s="10" t="s">
        <v>563</v>
      </c>
      <c r="E1" s="11" t="s">
        <v>562</v>
      </c>
    </row>
    <row r="2" spans="1:5">
      <c r="A2" s="32" t="s">
        <v>439</v>
      </c>
      <c r="B2" s="3" t="s">
        <v>440</v>
      </c>
      <c r="C2" s="3" t="s">
        <v>441</v>
      </c>
      <c r="D2" s="3"/>
      <c r="E2" s="33"/>
    </row>
    <row r="3" spans="1:5">
      <c r="A3" s="32" t="s">
        <v>439</v>
      </c>
      <c r="B3" s="3" t="s">
        <v>442</v>
      </c>
      <c r="C3" s="3" t="s">
        <v>443</v>
      </c>
      <c r="D3" s="3"/>
      <c r="E3" s="8" t="s">
        <v>564</v>
      </c>
    </row>
    <row r="4" spans="1:5">
      <c r="A4" s="32" t="s">
        <v>439</v>
      </c>
      <c r="B4" s="3" t="s">
        <v>444</v>
      </c>
      <c r="C4" s="3" t="s">
        <v>445</v>
      </c>
      <c r="D4" s="3"/>
      <c r="E4" s="8" t="s">
        <v>564</v>
      </c>
    </row>
    <row r="5" spans="1:5">
      <c r="A5" s="32" t="s">
        <v>439</v>
      </c>
      <c r="B5" s="3" t="s">
        <v>446</v>
      </c>
      <c r="C5" s="3" t="s">
        <v>447</v>
      </c>
      <c r="D5" s="3">
        <f>SUM(Sales!I2:I51)</f>
        <v>5145784.5</v>
      </c>
      <c r="E5" s="8" t="s">
        <v>564</v>
      </c>
    </row>
    <row r="6" spans="1:5">
      <c r="A6" s="32" t="s">
        <v>439</v>
      </c>
      <c r="B6" s="3" t="s">
        <v>448</v>
      </c>
      <c r="C6" s="3" t="s">
        <v>582</v>
      </c>
      <c r="D6" s="3">
        <f>AVERAGE(Sales!I2:I51)</f>
        <v>102915.69</v>
      </c>
      <c r="E6" s="8" t="s">
        <v>564</v>
      </c>
    </row>
    <row r="7" spans="1:5">
      <c r="A7" s="32"/>
      <c r="B7" s="3"/>
      <c r="C7" s="3" t="s">
        <v>566</v>
      </c>
      <c r="D7" s="3">
        <f>MIN(Sales!I2:I51)</f>
        <v>0</v>
      </c>
      <c r="E7" s="8" t="s">
        <v>564</v>
      </c>
    </row>
    <row r="8" spans="1:5">
      <c r="A8" s="32" t="s">
        <v>439</v>
      </c>
      <c r="B8" s="3" t="s">
        <v>449</v>
      </c>
      <c r="C8" s="3" t="s">
        <v>565</v>
      </c>
      <c r="D8" s="3">
        <f>MAX(Sales!I2:I51)</f>
        <v>538498</v>
      </c>
      <c r="E8" s="8" t="s">
        <v>572</v>
      </c>
    </row>
    <row r="9" spans="1:5">
      <c r="A9" s="32" t="s">
        <v>439</v>
      </c>
      <c r="B9" s="3" t="s">
        <v>450</v>
      </c>
      <c r="C9" s="3" t="s">
        <v>568</v>
      </c>
      <c r="D9" s="3">
        <f>COUNT(Sales!I2:I51)</f>
        <v>50</v>
      </c>
      <c r="E9" s="8" t="s">
        <v>572</v>
      </c>
    </row>
    <row r="10" spans="1:5">
      <c r="A10" s="32"/>
      <c r="B10" s="3"/>
      <c r="C10" s="3" t="s">
        <v>567</v>
      </c>
      <c r="D10" s="3">
        <f>COUNTA(Sales!I2:I51)</f>
        <v>50</v>
      </c>
      <c r="E10" s="8" t="s">
        <v>572</v>
      </c>
    </row>
    <row r="11" spans="1:5">
      <c r="A11" s="32"/>
      <c r="B11" s="3"/>
      <c r="C11" s="3" t="s">
        <v>569</v>
      </c>
      <c r="D11" s="3">
        <f>COUNTIF(Sales!F2:F51, "Won")</f>
        <v>29</v>
      </c>
      <c r="E11" s="8" t="s">
        <v>572</v>
      </c>
    </row>
    <row r="12" spans="1:5">
      <c r="A12" s="32"/>
      <c r="B12" s="3"/>
      <c r="C12" s="3" t="s">
        <v>570</v>
      </c>
      <c r="D12" s="3">
        <f>COUNTIF(Sales!F2:F51,"Lost")</f>
        <v>14</v>
      </c>
      <c r="E12" s="8" t="s">
        <v>572</v>
      </c>
    </row>
    <row r="13" spans="1:5">
      <c r="A13" s="32" t="s">
        <v>439</v>
      </c>
      <c r="B13" s="3" t="s">
        <v>451</v>
      </c>
      <c r="C13" s="3" t="s">
        <v>571</v>
      </c>
      <c r="D13" s="3">
        <f>COUNTIF(Sales!F2:F51,"Pending")</f>
        <v>7</v>
      </c>
      <c r="E13" s="8" t="s">
        <v>572</v>
      </c>
    </row>
    <row r="14" spans="1:5">
      <c r="A14" s="32" t="s">
        <v>439</v>
      </c>
      <c r="B14" s="3" t="s">
        <v>452</v>
      </c>
      <c r="C14" s="3" t="s">
        <v>477</v>
      </c>
      <c r="D14" s="3">
        <f>SUMIF(Sales!F2:F51, "Won", Sales!I2:I51)</f>
        <v>5145784.5</v>
      </c>
      <c r="E14" s="8" t="s">
        <v>572</v>
      </c>
    </row>
    <row r="15" spans="1:5">
      <c r="A15" s="32" t="s">
        <v>453</v>
      </c>
      <c r="B15" s="3" t="s">
        <v>454</v>
      </c>
      <c r="C15" s="3" t="s">
        <v>455</v>
      </c>
      <c r="D15" s="25" t="e">
        <f>_xlfn.XLOOKUP(Sales!#REF!, Products!A2:A51, Products!B2:B51)</f>
        <v>#REF!</v>
      </c>
      <c r="E15" s="8" t="s">
        <v>564</v>
      </c>
    </row>
    <row r="16" spans="1:5">
      <c r="A16" s="32" t="s">
        <v>453</v>
      </c>
      <c r="B16" s="3" t="s">
        <v>456</v>
      </c>
      <c r="C16" s="3" t="s">
        <v>455</v>
      </c>
      <c r="D16" s="3" t="e">
        <f>_xlfn.XLOOKUP(Sales!#REF!,Products!A2:A51,Products!D2:D51)</f>
        <v>#REF!</v>
      </c>
      <c r="E16" s="8" t="s">
        <v>564</v>
      </c>
    </row>
    <row r="17" spans="1:5">
      <c r="A17" s="32" t="s">
        <v>453</v>
      </c>
      <c r="B17" s="3" t="s">
        <v>457</v>
      </c>
      <c r="C17" s="3" t="s">
        <v>455</v>
      </c>
      <c r="D17" s="25" t="str">
        <f>_xlfn.XLOOKUP(Sales!C4, Customers!A2:A51, Customers!D2:D51)</f>
        <v>Enterprise</v>
      </c>
      <c r="E17" s="8" t="s">
        <v>564</v>
      </c>
    </row>
    <row r="18" spans="1:5">
      <c r="A18" s="32" t="s">
        <v>453</v>
      </c>
      <c r="B18" s="3" t="s">
        <v>458</v>
      </c>
      <c r="C18" s="3" t="s">
        <v>455</v>
      </c>
      <c r="D18" s="25" t="str">
        <f>_xlfn.XLOOKUP(Sales!E4, Salespeople!A2:A51, Salespeople!B2:B51)</f>
        <v>Salesperson 18</v>
      </c>
      <c r="E18" s="8" t="s">
        <v>564</v>
      </c>
    </row>
    <row r="19" spans="1:5">
      <c r="A19" s="32" t="s">
        <v>453</v>
      </c>
      <c r="B19" s="3" t="s">
        <v>459</v>
      </c>
      <c r="C19" s="3" t="s">
        <v>460</v>
      </c>
      <c r="D19" s="26" t="str">
        <f>INDEX(Customers!$C$2:$C$9,MATCH("C008",Customers!$A$2:$A$9,0))</f>
        <v>Healthcare</v>
      </c>
      <c r="E19" s="8" t="s">
        <v>564</v>
      </c>
    </row>
    <row r="20" spans="1:5">
      <c r="A20" s="32" t="s">
        <v>453</v>
      </c>
      <c r="B20" s="3" t="s">
        <v>461</v>
      </c>
      <c r="C20" s="3" t="s">
        <v>462</v>
      </c>
      <c r="D20">
        <f>Sales!G5*Products!D18</f>
        <v>228215</v>
      </c>
      <c r="E20" s="8" t="s">
        <v>572</v>
      </c>
    </row>
    <row r="21" spans="1:5">
      <c r="A21" s="32" t="s">
        <v>453</v>
      </c>
      <c r="B21" s="3" t="s">
        <v>463</v>
      </c>
      <c r="C21" s="3" t="s">
        <v>462</v>
      </c>
      <c r="D21" s="3" t="e">
        <f>Sales!#REF!-Sales!#REF!*Sales!#REF!/100</f>
        <v>#REF!</v>
      </c>
      <c r="E21" s="8" t="s">
        <v>572</v>
      </c>
    </row>
    <row r="22" spans="1:5">
      <c r="A22" s="32"/>
      <c r="B22" s="3"/>
      <c r="C22" s="3" t="s">
        <v>573</v>
      </c>
      <c r="D22" s="25" t="str">
        <f>IF(Sales!I4&gt;200000,"High Value", "Normal Value")</f>
        <v>Normal Value</v>
      </c>
      <c r="E22" s="8" t="s">
        <v>572</v>
      </c>
    </row>
    <row r="23" spans="1:5">
      <c r="A23" s="32" t="s">
        <v>464</v>
      </c>
      <c r="B23" s="3" t="s">
        <v>465</v>
      </c>
      <c r="C23" s="3" t="s">
        <v>574</v>
      </c>
      <c r="D23" s="25" t="str">
        <f>IF(Sales!I7&lt;200000,"High Value", "Normal Value")</f>
        <v>High Value</v>
      </c>
      <c r="E23" s="8" t="s">
        <v>572</v>
      </c>
    </row>
    <row r="24" spans="1:5">
      <c r="A24" s="32" t="s">
        <v>464</v>
      </c>
      <c r="B24" s="3" t="s">
        <v>467</v>
      </c>
      <c r="C24" s="3" t="s">
        <v>468</v>
      </c>
      <c r="D24" s="25" t="e" cm="1">
        <f t="array" ref="D24">_xlfn.IFS(Sales!#REF!&lt;25000,"Low", Sales!#REF!&lt;=500000,"Medium", Sales!#REF!&gt;500000,"High")</f>
        <v>#REF!</v>
      </c>
      <c r="E24" s="8" t="s">
        <v>572</v>
      </c>
    </row>
    <row r="25" spans="1:5">
      <c r="A25" s="32" t="s">
        <v>464</v>
      </c>
      <c r="B25" s="3" t="s">
        <v>469</v>
      </c>
      <c r="C25" s="3" t="s">
        <v>470</v>
      </c>
      <c r="D25" s="25" t="str">
        <f>IF(AND(Sales!F5="WON",Sales!F5&gt;50000),"Yes","No")</f>
        <v>Yes</v>
      </c>
      <c r="E25" s="8" t="s">
        <v>572</v>
      </c>
    </row>
    <row r="26" spans="1:5">
      <c r="A26" s="32" t="s">
        <v>464</v>
      </c>
      <c r="B26" s="3" t="s">
        <v>471</v>
      </c>
      <c r="C26" s="3" t="s">
        <v>472</v>
      </c>
      <c r="D26" s="25" t="str">
        <f>IF(OR(Sales!D5 ="North", Sales!D5 = "West"), "Yes","No")</f>
        <v>No</v>
      </c>
      <c r="E26" s="8" t="s">
        <v>572</v>
      </c>
    </row>
    <row r="27" spans="1:5">
      <c r="A27" s="32" t="s">
        <v>464</v>
      </c>
      <c r="B27" s="3" t="s">
        <v>473</v>
      </c>
      <c r="C27" s="3" t="s">
        <v>474</v>
      </c>
      <c r="D27" s="25" t="str">
        <f>IFERROR(_xlfn.XLOOKUP(Sales!#REF!, Products!A2:A51, Products!B2:B53),"NOT FOUND")</f>
        <v>NOT FOUND</v>
      </c>
      <c r="E27" s="8" t="s">
        <v>572</v>
      </c>
    </row>
    <row r="28" spans="1:5">
      <c r="A28" s="32" t="s">
        <v>475</v>
      </c>
      <c r="B28" s="3" t="s">
        <v>476</v>
      </c>
      <c r="C28" s="3" t="s">
        <v>477</v>
      </c>
      <c r="D28" s="3">
        <f>SUMIFS(Sales!I2:I51, Sales!F2:F51,"WON", Salespeople!D2:D51,"North")</f>
        <v>853711.45</v>
      </c>
      <c r="E28" s="8" t="s">
        <v>572</v>
      </c>
    </row>
    <row r="29" spans="1:5">
      <c r="A29" s="32" t="s">
        <v>475</v>
      </c>
      <c r="B29" s="3" t="s">
        <v>478</v>
      </c>
      <c r="C29" s="3" t="s">
        <v>479</v>
      </c>
      <c r="D29" s="3">
        <f>COUNTIFS( Sales!F2:F51,"WON", Salespeople!D2:D51,"North")</f>
        <v>5</v>
      </c>
      <c r="E29" s="8" t="s">
        <v>572</v>
      </c>
    </row>
    <row r="30" spans="1:5">
      <c r="A30" s="32" t="s">
        <v>475</v>
      </c>
      <c r="B30" s="3" t="s">
        <v>480</v>
      </c>
      <c r="C30" s="3" t="s">
        <v>569</v>
      </c>
      <c r="D30" s="3">
        <f>AVERAGEIFS(Sales!I2:I51, Sales!F2:F51, "Won", Customers!D2:D51,"Mid-Market")</f>
        <v>127360.97222222222</v>
      </c>
      <c r="E30" s="8" t="s">
        <v>572</v>
      </c>
    </row>
    <row r="31" spans="1:5">
      <c r="A31" s="32" t="s">
        <v>482</v>
      </c>
      <c r="B31" s="3" t="s">
        <v>483</v>
      </c>
      <c r="C31" s="3" t="s">
        <v>484</v>
      </c>
      <c r="D31" s="25" t="str">
        <f>TRIM(Customers!D6)</f>
        <v>Mid- Market</v>
      </c>
      <c r="E31" s="8" t="s">
        <v>572</v>
      </c>
    </row>
    <row r="32" spans="1:5">
      <c r="A32" s="32" t="s">
        <v>482</v>
      </c>
      <c r="B32" s="3" t="s">
        <v>485</v>
      </c>
      <c r="C32" s="3" t="s">
        <v>486</v>
      </c>
      <c r="D32" s="25" t="str">
        <f>PROPER(Customers!F2)</f>
        <v>Rajasthan</v>
      </c>
      <c r="E32" s="8" t="s">
        <v>572</v>
      </c>
    </row>
    <row r="33" spans="1:5">
      <c r="A33" s="32" t="s">
        <v>482</v>
      </c>
      <c r="B33" s="3" t="s">
        <v>487</v>
      </c>
      <c r="C33" s="3" t="s">
        <v>488</v>
      </c>
      <c r="D33" s="25" t="str">
        <f>LEFT(SEARCH("s",Customers!F2))</f>
        <v>5</v>
      </c>
      <c r="E33" s="8" t="s">
        <v>572</v>
      </c>
    </row>
    <row r="34" spans="1:5">
      <c r="A34" s="32" t="s">
        <v>482</v>
      </c>
      <c r="B34" s="3" t="s">
        <v>489</v>
      </c>
      <c r="C34" s="3" t="s">
        <v>490</v>
      </c>
      <c r="D34" s="25" t="str">
        <f>_xlfn.TEXTJOIN(" ", TRUE, Products!C2,Salespeople!E5)</f>
        <v>HR Vikas</v>
      </c>
      <c r="E34" s="8" t="s">
        <v>572</v>
      </c>
    </row>
    <row r="35" spans="1:5">
      <c r="A35" s="32" t="s">
        <v>482</v>
      </c>
      <c r="B35" s="3" t="s">
        <v>491</v>
      </c>
      <c r="C35" s="3" t="s">
        <v>492</v>
      </c>
      <c r="D35" s="25">
        <f>LEN(Customers!F2)</f>
        <v>9</v>
      </c>
      <c r="E35" s="8" t="s">
        <v>572</v>
      </c>
    </row>
    <row r="36" spans="1:5">
      <c r="A36" s="32"/>
      <c r="B36" s="3"/>
      <c r="C36" s="3" t="s">
        <v>576</v>
      </c>
      <c r="D36" s="25" t="e">
        <f>MONTH(Sales!#REF!)</f>
        <v>#REF!</v>
      </c>
      <c r="E36" s="8" t="s">
        <v>572</v>
      </c>
    </row>
    <row r="37" spans="1:5">
      <c r="A37" s="32" t="s">
        <v>493</v>
      </c>
      <c r="B37" s="3" t="s">
        <v>494</v>
      </c>
      <c r="C37" s="3" t="s">
        <v>495</v>
      </c>
      <c r="D37" s="25" t="e">
        <f>YEAR(Sales!#REF!)</f>
        <v>#REF!</v>
      </c>
      <c r="E37" s="8" t="s">
        <v>572</v>
      </c>
    </row>
    <row r="38" spans="1:5">
      <c r="A38" s="32" t="s">
        <v>493</v>
      </c>
      <c r="B38" s="3" t="s">
        <v>496</v>
      </c>
      <c r="C38" s="3" t="s">
        <v>497</v>
      </c>
      <c r="D38" s="25" t="e">
        <f>TEXT(Sales!#REF!,"mmm-yyyy")</f>
        <v>#REF!</v>
      </c>
      <c r="E38" s="8" t="s">
        <v>572</v>
      </c>
    </row>
    <row r="39" spans="1:5">
      <c r="A39" s="32" t="s">
        <v>493</v>
      </c>
      <c r="B39" s="3" t="s">
        <v>498</v>
      </c>
      <c r="C39" s="3" t="s">
        <v>479</v>
      </c>
      <c r="D39" s="25">
        <f>COUNTIFS(Sales!B2:B51,"&gt;="&amp;DATE(2026,2,1),Sales!B2:B51,"&lt;"&amp;DATE(2026,3,1))</f>
        <v>9</v>
      </c>
      <c r="E39" s="8" t="s">
        <v>572</v>
      </c>
    </row>
    <row r="40" spans="1:5">
      <c r="A40" s="32" t="s">
        <v>493</v>
      </c>
      <c r="B40" s="3" t="s">
        <v>499</v>
      </c>
      <c r="C40" s="3" t="s">
        <v>477</v>
      </c>
      <c r="D40" s="25">
        <f>SUMIFS(Sales!I2:I51,Sales!F2:F51,"Won",Sales!B2:B51,"&gt;="&amp;DATE(2026,3,1),Sales!B2:B51,"&lt;"&amp;DATE(2026,4,1))</f>
        <v>274946.75</v>
      </c>
      <c r="E40" s="8" t="s">
        <v>572</v>
      </c>
    </row>
    <row r="41" spans="1:5">
      <c r="A41" s="32" t="s">
        <v>500</v>
      </c>
      <c r="B41" s="3" t="s">
        <v>501</v>
      </c>
      <c r="C41" s="3" t="s">
        <v>502</v>
      </c>
      <c r="D41" s="25" t="s">
        <v>580</v>
      </c>
      <c r="E41" s="8" t="s">
        <v>572</v>
      </c>
    </row>
    <row r="42" spans="1:5">
      <c r="A42" s="32" t="s">
        <v>500</v>
      </c>
      <c r="B42" s="3" t="s">
        <v>503</v>
      </c>
      <c r="C42" s="3" t="s">
        <v>502</v>
      </c>
      <c r="D42" s="25" t="s">
        <v>581</v>
      </c>
      <c r="E42" s="8" t="s">
        <v>572</v>
      </c>
    </row>
    <row r="43" spans="1:5">
      <c r="A43" s="32" t="s">
        <v>500</v>
      </c>
      <c r="B43" s="3" t="s">
        <v>504</v>
      </c>
      <c r="C43" s="3" t="s">
        <v>502</v>
      </c>
      <c r="D43" s="25" t="s">
        <v>583</v>
      </c>
      <c r="E43" s="8" t="s">
        <v>572</v>
      </c>
    </row>
    <row r="44" spans="1:5">
      <c r="A44" s="32" t="s">
        <v>500</v>
      </c>
      <c r="B44" s="3" t="s">
        <v>505</v>
      </c>
      <c r="C44" s="3" t="s">
        <v>502</v>
      </c>
      <c r="D44" s="25" t="s">
        <v>585</v>
      </c>
      <c r="E44" s="8" t="s">
        <v>572</v>
      </c>
    </row>
    <row r="45" spans="1:5">
      <c r="A45" s="32" t="s">
        <v>500</v>
      </c>
      <c r="B45" s="3" t="s">
        <v>506</v>
      </c>
      <c r="C45" s="3" t="s">
        <v>507</v>
      </c>
      <c r="D45" s="25" t="s">
        <v>593</v>
      </c>
      <c r="E45" s="8" t="s">
        <v>572</v>
      </c>
    </row>
    <row r="46" spans="1:5">
      <c r="A46" s="32" t="s">
        <v>500</v>
      </c>
      <c r="B46" s="3" t="s">
        <v>508</v>
      </c>
      <c r="C46" s="3" t="s">
        <v>509</v>
      </c>
      <c r="D46" s="25" t="s">
        <v>581</v>
      </c>
      <c r="E46" s="8" t="s">
        <v>572</v>
      </c>
    </row>
    <row r="47" spans="1:5">
      <c r="A47" s="32" t="s">
        <v>510</v>
      </c>
      <c r="B47" s="3" t="s">
        <v>511</v>
      </c>
      <c r="C47" s="3" t="s">
        <v>512</v>
      </c>
      <c r="D47" s="25"/>
      <c r="E47" s="8" t="s">
        <v>572</v>
      </c>
    </row>
    <row r="48" spans="1:5">
      <c r="A48" s="32" t="s">
        <v>510</v>
      </c>
      <c r="B48" s="3" t="s">
        <v>513</v>
      </c>
      <c r="C48" s="3" t="s">
        <v>512</v>
      </c>
      <c r="D48" s="25"/>
      <c r="E48" s="8" t="s">
        <v>572</v>
      </c>
    </row>
    <row r="49" spans="1:5">
      <c r="A49" s="32" t="s">
        <v>510</v>
      </c>
      <c r="B49" s="3" t="s">
        <v>514</v>
      </c>
      <c r="C49" s="3" t="s">
        <v>515</v>
      </c>
      <c r="D49" s="25"/>
      <c r="E49" s="8" t="s">
        <v>572</v>
      </c>
    </row>
    <row r="50" spans="1:5">
      <c r="A50" s="32" t="s">
        <v>510</v>
      </c>
      <c r="B50" s="3" t="s">
        <v>516</v>
      </c>
      <c r="C50" s="3" t="s">
        <v>517</v>
      </c>
      <c r="D50" s="25" t="str">
        <f>IF(AND(Sales!F6="Lost",Sales!I6&gt;0),"Check Data","OK")</f>
        <v>OK</v>
      </c>
      <c r="E50" s="8" t="s">
        <v>572</v>
      </c>
    </row>
    <row r="51" spans="1:5">
      <c r="A51" s="32" t="s">
        <v>518</v>
      </c>
      <c r="B51" s="3" t="s">
        <v>519</v>
      </c>
      <c r="C51" s="3" t="s">
        <v>520</v>
      </c>
      <c r="D51" s="25" t="s">
        <v>594</v>
      </c>
      <c r="E51" s="8" t="s">
        <v>572</v>
      </c>
    </row>
    <row r="52" spans="1:5">
      <c r="A52" s="32" t="s">
        <v>518</v>
      </c>
      <c r="B52" s="3" t="s">
        <v>521</v>
      </c>
      <c r="C52" s="3" t="s">
        <v>520</v>
      </c>
      <c r="D52" s="25" t="s">
        <v>595</v>
      </c>
      <c r="E52" s="8" t="s">
        <v>572</v>
      </c>
    </row>
    <row r="53" spans="1:5">
      <c r="A53" s="32" t="s">
        <v>518</v>
      </c>
      <c r="B53" s="3" t="s">
        <v>522</v>
      </c>
      <c r="C53" s="3" t="s">
        <v>523</v>
      </c>
      <c r="D53" s="25">
        <f>Sales!I4/SUM(Sales!I2:I51)*100</f>
        <v>0</v>
      </c>
      <c r="E53" s="8" t="s">
        <v>572</v>
      </c>
    </row>
    <row r="54" spans="1:5">
      <c r="A54" s="32" t="s">
        <v>518</v>
      </c>
      <c r="B54" s="3" t="s">
        <v>524</v>
      </c>
      <c r="C54" s="3" t="s">
        <v>525</v>
      </c>
      <c r="D54" s="25">
        <f>SUM(Sales!I2:I51)/SUM(Targets!C2:C51)*100</f>
        <v>23.515982695058188</v>
      </c>
      <c r="E54" s="8" t="s">
        <v>572</v>
      </c>
    </row>
    <row r="55" spans="1:5">
      <c r="A55" s="32" t="s">
        <v>518</v>
      </c>
      <c r="B55" s="3" t="s">
        <v>526</v>
      </c>
      <c r="C55" s="3" t="s">
        <v>466</v>
      </c>
      <c r="D55" s="25" t="str" cm="1">
        <f t="array" ref="D55">IF(SUM(Sales!I2:I51&gt;=Targets!C2:C51), "Target Achived", "Target not Achived")</f>
        <v>Target not Achived</v>
      </c>
      <c r="E55" s="8" t="s">
        <v>572</v>
      </c>
    </row>
    <row r="56" spans="1:5">
      <c r="A56" s="32" t="s">
        <v>518</v>
      </c>
      <c r="B56" s="3" t="s">
        <v>527</v>
      </c>
      <c r="C56" s="3" t="s">
        <v>479</v>
      </c>
      <c r="D56" s="35">
        <f>COUNTIF(Sales!F2:F51,"Won")/COUNTA(Sales!A2:A51)</f>
        <v>0.57999999999999996</v>
      </c>
      <c r="E56" s="8" t="s">
        <v>572</v>
      </c>
    </row>
    <row r="57" spans="1:5">
      <c r="A57" s="32" t="s">
        <v>518</v>
      </c>
      <c r="B57" s="3" t="s">
        <v>528</v>
      </c>
      <c r="C57" s="3" t="s">
        <v>481</v>
      </c>
      <c r="D57" s="25">
        <f>AVERAGEIFS(Sales!I2:I51, Sales!F2:F51,"Won")</f>
        <v>177440.8448275862</v>
      </c>
      <c r="E57" s="8" t="s">
        <v>572</v>
      </c>
    </row>
    <row r="58" spans="1:5">
      <c r="A58" s="32" t="s">
        <v>529</v>
      </c>
      <c r="B58" s="3" t="s">
        <v>530</v>
      </c>
      <c r="C58" s="3" t="s">
        <v>531</v>
      </c>
      <c r="D58" s="25" t="s">
        <v>601</v>
      </c>
      <c r="E58" s="8" t="s">
        <v>572</v>
      </c>
    </row>
    <row r="59" spans="1:5">
      <c r="A59" s="32" t="s">
        <v>529</v>
      </c>
      <c r="B59" s="3" t="s">
        <v>532</v>
      </c>
      <c r="C59" s="3" t="s">
        <v>533</v>
      </c>
      <c r="D59" s="25" t="s">
        <v>603</v>
      </c>
      <c r="E59" s="8" t="s">
        <v>572</v>
      </c>
    </row>
    <row r="60" spans="1:5">
      <c r="A60" s="32" t="s">
        <v>529</v>
      </c>
      <c r="B60" s="3" t="s">
        <v>534</v>
      </c>
      <c r="C60" s="3" t="s">
        <v>535</v>
      </c>
      <c r="D60" s="25" t="s">
        <v>608</v>
      </c>
      <c r="E60" s="8" t="s">
        <v>572</v>
      </c>
    </row>
    <row r="61" spans="1:5">
      <c r="A61" s="32" t="s">
        <v>529</v>
      </c>
      <c r="B61" s="3" t="s">
        <v>536</v>
      </c>
      <c r="C61" s="3" t="s">
        <v>537</v>
      </c>
      <c r="D61" s="25" t="s">
        <v>537</v>
      </c>
      <c r="E61" s="8" t="s">
        <v>572</v>
      </c>
    </row>
    <row r="62" spans="1:5">
      <c r="A62" s="32" t="s">
        <v>529</v>
      </c>
      <c r="B62" s="3" t="s">
        <v>538</v>
      </c>
      <c r="C62" s="3" t="s">
        <v>539</v>
      </c>
      <c r="D62" s="25" t="s">
        <v>605</v>
      </c>
      <c r="E62" s="8" t="s">
        <v>572</v>
      </c>
    </row>
    <row r="63" spans="1:5">
      <c r="A63" s="32" t="s">
        <v>529</v>
      </c>
      <c r="B63" s="3" t="s">
        <v>540</v>
      </c>
      <c r="C63" s="3" t="s">
        <v>535</v>
      </c>
      <c r="D63" s="25" t="s">
        <v>609</v>
      </c>
      <c r="E63" s="8" t="s">
        <v>572</v>
      </c>
    </row>
    <row r="64" spans="1:5">
      <c r="A64" s="32" t="s">
        <v>529</v>
      </c>
      <c r="B64" s="3" t="s">
        <v>541</v>
      </c>
      <c r="C64" s="3" t="s">
        <v>542</v>
      </c>
      <c r="D64" s="25"/>
      <c r="E64" s="8" t="s">
        <v>572</v>
      </c>
    </row>
    <row r="65" spans="1:5">
      <c r="A65" s="32" t="s">
        <v>543</v>
      </c>
      <c r="B65" s="3" t="s">
        <v>544</v>
      </c>
      <c r="C65" s="3" t="s">
        <v>545</v>
      </c>
      <c r="D65" s="25" t="s">
        <v>601</v>
      </c>
      <c r="E65" s="8" t="s">
        <v>572</v>
      </c>
    </row>
    <row r="66" spans="1:5">
      <c r="A66" s="32" t="s">
        <v>543</v>
      </c>
      <c r="B66" s="3" t="s">
        <v>546</v>
      </c>
      <c r="C66" s="3" t="s">
        <v>547</v>
      </c>
      <c r="D66" s="25" t="s">
        <v>601</v>
      </c>
      <c r="E66" s="8" t="s">
        <v>572</v>
      </c>
    </row>
    <row r="67" spans="1:5">
      <c r="A67" s="32" t="s">
        <v>543</v>
      </c>
      <c r="B67" s="3" t="s">
        <v>548</v>
      </c>
      <c r="C67" s="3" t="s">
        <v>549</v>
      </c>
      <c r="D67" s="25" t="s">
        <v>601</v>
      </c>
      <c r="E67" s="8" t="s">
        <v>572</v>
      </c>
    </row>
    <row r="68" spans="1:5">
      <c r="A68" s="32" t="s">
        <v>543</v>
      </c>
      <c r="B68" s="3" t="s">
        <v>550</v>
      </c>
      <c r="C68" s="3" t="s">
        <v>551</v>
      </c>
      <c r="D68" s="25" t="s">
        <v>601</v>
      </c>
      <c r="E68" s="8" t="s">
        <v>572</v>
      </c>
    </row>
    <row r="69" spans="1:5">
      <c r="A69" s="32" t="s">
        <v>543</v>
      </c>
      <c r="B69" s="3" t="s">
        <v>552</v>
      </c>
      <c r="C69" s="3" t="s">
        <v>553</v>
      </c>
      <c r="D69" s="25"/>
      <c r="E69" s="8" t="s">
        <v>572</v>
      </c>
    </row>
    <row r="70" spans="1:5">
      <c r="A70" s="32" t="s">
        <v>554</v>
      </c>
      <c r="B70" s="3" t="s">
        <v>555</v>
      </c>
      <c r="C70" s="3" t="s">
        <v>556</v>
      </c>
      <c r="D70" s="25" t="s">
        <v>601</v>
      </c>
      <c r="E70" s="8" t="s">
        <v>572</v>
      </c>
    </row>
    <row r="71" spans="1:5">
      <c r="A71" s="32" t="s">
        <v>554</v>
      </c>
      <c r="B71" s="3" t="s">
        <v>557</v>
      </c>
      <c r="C71" s="3" t="s">
        <v>556</v>
      </c>
      <c r="D71" s="25" t="s">
        <v>601</v>
      </c>
      <c r="E71" s="8" t="s">
        <v>572</v>
      </c>
    </row>
    <row r="72" spans="1:5">
      <c r="A72" s="32" t="s">
        <v>554</v>
      </c>
      <c r="B72" s="3" t="s">
        <v>558</v>
      </c>
      <c r="C72" s="3" t="s">
        <v>556</v>
      </c>
      <c r="D72" s="25" t="s">
        <v>620</v>
      </c>
      <c r="E72" s="8" t="s">
        <v>572</v>
      </c>
    </row>
    <row r="73" spans="1:5">
      <c r="A73" s="32" t="s">
        <v>554</v>
      </c>
      <c r="B73" s="3" t="s">
        <v>559</v>
      </c>
      <c r="C73" s="3" t="s">
        <v>556</v>
      </c>
      <c r="D73" s="25" t="s">
        <v>627</v>
      </c>
      <c r="E73" s="8"/>
    </row>
    <row r="74" spans="1:5">
      <c r="A74" s="27" t="s">
        <v>554</v>
      </c>
      <c r="B74" s="5" t="s">
        <v>560</v>
      </c>
      <c r="C74" s="5" t="s">
        <v>561</v>
      </c>
      <c r="D74" s="34"/>
      <c r="E74" s="13"/>
    </row>
    <row r="76" spans="1:5">
      <c r="A76">
        <v>1</v>
      </c>
      <c r="B76" t="s">
        <v>622</v>
      </c>
    </row>
    <row r="77" spans="1:5">
      <c r="A77">
        <v>2</v>
      </c>
      <c r="B77" t="s">
        <v>623</v>
      </c>
    </row>
    <row r="78" spans="1:5">
      <c r="A78">
        <v>3</v>
      </c>
      <c r="B78" t="s">
        <v>624</v>
      </c>
    </row>
    <row r="79" spans="1:5">
      <c r="A79">
        <v>4</v>
      </c>
      <c r="B79" t="s">
        <v>625</v>
      </c>
    </row>
    <row r="80" spans="1:5">
      <c r="A80">
        <v>5</v>
      </c>
      <c r="B80" t="s">
        <v>626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pivot 1</vt:lpstr>
      <vt:lpstr>pivot 2</vt:lpstr>
      <vt:lpstr>pivot 3</vt:lpstr>
      <vt:lpstr>pivot 4</vt:lpstr>
      <vt:lpstr>pivot5</vt:lpstr>
      <vt:lpstr>pivot6</vt:lpstr>
      <vt:lpstr>Sales Dashboard </vt:lpstr>
      <vt:lpstr>pivot 7</vt:lpstr>
      <vt:lpstr>Line Chart</vt:lpstr>
      <vt:lpstr>Bar Chart 1</vt:lpstr>
      <vt:lpstr>Column Bar</vt:lpstr>
      <vt:lpstr>Donut Chart</vt:lpstr>
      <vt:lpstr>Bar Chart 2</vt:lpstr>
      <vt:lpstr>Sales</vt:lpstr>
      <vt:lpstr>lost deals analysis </vt:lpstr>
      <vt:lpstr>Win Rate Analysis </vt:lpstr>
      <vt:lpstr>Customers</vt:lpstr>
      <vt:lpstr>Products</vt:lpstr>
      <vt:lpstr>Salespeople</vt:lpstr>
      <vt:lpstr>Targets</vt:lpstr>
      <vt:lpstr>Date</vt:lpstr>
      <vt:lpstr>Excel_Tasks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aadarsh satle</cp:lastModifiedBy>
  <dcterms:created xsi:type="dcterms:W3CDTF">2026-10-05T06:47:07Z</dcterms:created>
  <dcterms:modified xsi:type="dcterms:W3CDTF">2026-10-09T06:52:12Z</dcterms:modified>
</cp:coreProperties>
</file>